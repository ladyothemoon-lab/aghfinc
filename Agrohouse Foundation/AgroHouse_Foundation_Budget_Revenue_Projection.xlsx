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ogram Costs" sheetId="2" state="visible" r:id="rId4"/>
    <sheet name="Revenue Projections" sheetId="3" state="visible" r:id="rId5"/>
    <sheet name="Grant Funding 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<sst xmlns="http://schemas.openxmlformats.org/spreadsheetml/2006/main" count="186" uniqueCount="145">
  <si>
    <t xml:space="preserve">AgroHouse Foundation™ — Projected Budget &amp; Revenue Summary</t>
  </si>
  <si>
    <t xml:space="preserve">Founder-Led Launch Ask: $320,000 – $650,000  |  Full Four-Program System: $745,000 – $1,690,000</t>
  </si>
  <si>
    <t xml:space="preserve">All figures are planning-stage estimates drawn from AgroHouse Foundation™ Final Document (July 2026). Ranges reflect the source document; use low/high columns for scenario planning.</t>
  </si>
  <si>
    <t xml:space="preserve">Program</t>
  </si>
  <si>
    <t xml:space="preserve">Scope</t>
  </si>
  <si>
    <t xml:space="preserve">Cost — Low</t>
  </si>
  <si>
    <t xml:space="preserve">Cost — High</t>
  </si>
  <si>
    <t xml:space="preserve">Est. Annual Revenue (Yr 1)</t>
  </si>
  <si>
    <t xml:space="preserve">Notes</t>
  </si>
  <si>
    <t xml:space="preserve">Program 1</t>
  </si>
  <si>
    <t xml:space="preserve">Outreach Stabilization &amp; Operations Activation</t>
  </si>
  <si>
    <t xml:space="preserve">Cost center by design; funded via grants/donations, not direct revenue</t>
  </si>
  <si>
    <t xml:space="preserve">Program 2</t>
  </si>
  <si>
    <t xml:space="preserve">Farm Infrastructure &amp; Operations System (Phase 1–2)</t>
  </si>
  <si>
    <t xml:space="preserve">Revenue = midpoint of illustrative flock/egg sales ($6,870–$8,370); farm stand produce &amp; tours not yet modeled</t>
  </si>
  <si>
    <t xml:space="preserve">Program 3</t>
  </si>
  <si>
    <t xml:space="preserve">Workforce, Education &amp; Training System (projected)</t>
  </si>
  <si>
    <t xml:space="preserve">Cost center by design; funded via WIOA/workforce &amp; education grants</t>
  </si>
  <si>
    <t xml:space="preserve">Program 4</t>
  </si>
  <si>
    <t xml:space="preserve">AgroHouse™ Residential System (deferred)</t>
  </si>
  <si>
    <t xml:space="preserve">Deferred — no near-term cost or revenue; requires operating partner</t>
  </si>
  <si>
    <t xml:space="preserve">TOTAL — Full System</t>
  </si>
  <si>
    <t xml:space="preserve">All four programs</t>
  </si>
  <si>
    <t xml:space="preserve">Founder-Led Launch Phase (Programs 1+2 only)</t>
  </si>
  <si>
    <t xml:space="preserve">Immediate ask</t>
  </si>
  <si>
    <t xml:space="preserve">Program 2 — Recurring Annual Operating Add-Ons (Not in Capital Range Above)</t>
  </si>
  <si>
    <t xml:space="preserve">Item</t>
  </si>
  <si>
    <t xml:space="preserve">Basis</t>
  </si>
  <si>
    <t xml:space="preserve">Annual — Low</t>
  </si>
  <si>
    <t xml:space="preserve">Annual — High</t>
  </si>
  <si>
    <t xml:space="preserve">Veterinary care</t>
  </si>
  <si>
    <t xml:space="preserve">Avian/exotic + mobile large-animal, routine + emergency reserve</t>
  </si>
  <si>
    <t xml:space="preserve">Licensing &amp; permits</t>
  </si>
  <si>
    <t xml:space="preserve">FWC waterfowl, NPIP, FDACS egg/food, county, sales tax</t>
  </si>
  <si>
    <t xml:space="preserve">Total Recurring Compliance &amp; Care</t>
  </si>
  <si>
    <t xml:space="preserve">Source: AgroHouse Foundation™ Final Document, July 2026 — Budget Summary by Program, p.17; Recurring Operating Add-Ons, p.17</t>
  </si>
  <si>
    <t xml:space="preserve">Projected Budget by Program — Detail</t>
  </si>
  <si>
    <t xml:space="preserve">Program 1 — Outreach Stabilization &amp; Operations Activation</t>
  </si>
  <si>
    <t xml:space="preserve">Low</t>
  </si>
  <si>
    <t xml:space="preserve">High</t>
  </si>
  <si>
    <t xml:space="preserve">Startup cost (vehicle, food handling/material equipment, staffing)</t>
  </si>
  <si>
    <t xml:space="preserve">Min. staffing: Program Manager + 1 support worker; funded primarily by federal/state grants</t>
  </si>
  <si>
    <t xml:space="preserve">Program 2 — Farm Infrastructure &amp; Operations System</t>
  </si>
  <si>
    <t xml:space="preserve">Phase 1–2 startup (crop systems, livestock/poultry systems, farm stand, biosecurity)</t>
  </si>
  <si>
    <t xml:space="preserve">Primary near-term capital ask for Program 2</t>
  </si>
  <si>
    <t xml:space="preserve">Full system cost incl. kitchen (longer-term, not part of near-term ask)</t>
  </si>
  <si>
    <t xml:space="preserve">Long-term buildout figure, shown for context only</t>
  </si>
  <si>
    <t xml:space="preserve">Recurring Annual Operating Add-Ons (not in capital cost above)</t>
  </si>
  <si>
    <t xml:space="preserve">Avian/exotic vet — routine (≈4 exams/yr @ $100–150)</t>
  </si>
  <si>
    <t xml:space="preserve">Avian/exotic vet — emergency reserve</t>
  </si>
  <si>
    <t xml:space="preserve">Mobile large-animal vet — routine (≈4 calls/yr @ $150–250)</t>
  </si>
  <si>
    <t xml:space="preserve">Mobile large-animal vet — emergency reserve</t>
  </si>
  <si>
    <t xml:space="preserve">Licensing &amp; permits (FWC, NPIP, FDACS, county, sales tax)</t>
  </si>
  <si>
    <t xml:space="preserve">Total Recurring — Program 2</t>
  </si>
  <si>
    <t xml:space="preserve">Program 3 — Workforce, Education &amp; Training System (Projected)</t>
  </si>
  <si>
    <t xml:space="preserve">Early planning investment (staffing, curriculum, access/compliance systems)</t>
  </si>
  <si>
    <t xml:space="preserve">Not yet finalized; does not duplicate Program 2 capital costs; developed only after Programs 1–2 stabilize</t>
  </si>
  <si>
    <t xml:space="preserve">Program 4 — AgroHouse™ Residential System (Deferred)</t>
  </si>
  <si>
    <t xml:space="preserve">4 units, hoop houses, fencing/paths, shared recreation area</t>
  </si>
  <si>
    <t xml:space="preserve">Deferred — founder will not personally operate; requires qualified operating partner and resolution of Ch. 409.175 licensing question before construction</t>
  </si>
  <si>
    <t xml:space="preserve">Source: AgroHouse Foundation™ Final Document, July 2026, pp.10–17</t>
  </si>
  <si>
    <t xml:space="preserve">Revenue Projections by Program</t>
  </si>
  <si>
    <t xml:space="preserve">Programs 1, 3, and 4 are cost centers by design (service delivery / grant eligibility, not direct revenue). Program 2 is the system’s primary revenue-generating component.</t>
  </si>
  <si>
    <t xml:space="preserve">Program 2 — Confirmed AgroHouse Foundation™ Pricing</t>
  </si>
  <si>
    <t xml:space="preserve">Product</t>
  </si>
  <si>
    <t xml:space="preserve">Unit Price</t>
  </si>
  <si>
    <t xml:space="preserve">Illustrative Qty/Yr</t>
  </si>
  <si>
    <t xml:space="preserve">Illustrative Revenue</t>
  </si>
  <si>
    <t xml:space="preserve">Embden geese (grow-out)</t>
  </si>
  <si>
    <t xml:space="preserve">Sebastopol geese</t>
  </si>
  <si>
    <t xml:space="preserve">Oregon Mini geese</t>
  </si>
  <si>
    <t xml:space="preserve">Birmingham Roller pigeons (per bird; sold in pairs)</t>
  </si>
  <si>
    <t xml:space="preserve">Program 2 — Estimated Pricing (Regional Market Comparables, Not Yet Set)</t>
  </si>
  <si>
    <t xml:space="preserve">Est. Unit Price</t>
  </si>
  <si>
    <t xml:space="preserve">Chicken hatching eggs (per dozen, ~$30–45)</t>
  </si>
  <si>
    <t xml:space="preserve">Ducklings (per bird, ~$10–15)</t>
  </si>
  <si>
    <t xml:space="preserve">Goslings (per bird, ~$20–35)</t>
  </si>
  <si>
    <t xml:space="preserve">Guinea keets (per bird, ~$6–10)</t>
  </si>
  <si>
    <t xml:space="preserve">Table eggs (per dozen, ~$5–7)</t>
  </si>
  <si>
    <t xml:space="preserve">Illustrative Year 1 Total — Confirmed + Estimated Lines</t>
  </si>
  <si>
    <t xml:space="preserve">Document range for this total: $6,870 – $8,370 (placeholder quantities; not actual production figures — flock/crop plan not yet finalized)</t>
  </si>
  <si>
    <t xml:space="preserve">Program 2 — Revenue Not Yet Modeled</t>
  </si>
  <si>
    <t xml:space="preserve">Category</t>
  </si>
  <si>
    <t xml:space="preserve">Status</t>
  </si>
  <si>
    <t xml:space="preserve">Farm stand produce (crops)</t>
  </si>
  <si>
    <t xml:space="preserve">Not modeled — acreage, crop mix, and yield not yet finalized. Will use UF/IFAS regional produce-price benchmarks once set.</t>
  </si>
  <si>
    <t xml:space="preserve">Agritourism / education tours</t>
  </si>
  <si>
    <t xml:space="preserve">Not modeled — pricing cannot be set until physical campus is built.</t>
  </si>
  <si>
    <t xml:space="preserve">Snack stand</t>
  </si>
  <si>
    <t xml:space="preserve">Not modeled — no pricing set; planned future category only.</t>
  </si>
  <si>
    <t xml:space="preserve">Programs 1, 3 &amp; 4 — Revenue Status</t>
  </si>
  <si>
    <t xml:space="preserve">Program 1 — Outreach Stabilization</t>
  </si>
  <si>
    <t xml:space="preserve">Cost center by design. Revenue potential lies in grant/contract eligibility (e.g., USDA CFPCGP, EFSP), not direct sales.</t>
  </si>
  <si>
    <t xml:space="preserve">Program 3 — Workforce, Education &amp; Training</t>
  </si>
  <si>
    <t xml:space="preserve">Cost center by design. Funded via workforce/education grants (WIOA, BFRDP, FFA/4-H, CTE) rather than program revenue.</t>
  </si>
  <si>
    <t xml:space="preserve">Program 4 — AgroHouse™ Residential System</t>
  </si>
  <si>
    <t xml:space="preserve">No revenue while deferred. Future funding would come from USDA Farm Labor Housing, HUD CoC, or Florida Housing Finance Corp programs once an operating partner is secured.</t>
  </si>
  <si>
    <t xml:space="preserve">Source: AgroHouse Foundation™ Final Document, July 2026 — Revenue Projections by Program, pp.18–19. Estimated-pricing lines use the midpoint of each stated market range; illustrative quantities are the document’s own placeholder figures, not confirmed production numbers.</t>
  </si>
  <si>
    <t xml:space="preserve">Grant &amp; Funding Strategy — Quick Reference</t>
  </si>
  <si>
    <t xml:space="preserve">Nearly all listed grants require an IRS 501(c)(3) determination letter, EIN, seated board, and adopted bylaws before application.</t>
  </si>
  <si>
    <t xml:space="preserve">Grant / Program</t>
  </si>
  <si>
    <t xml:space="preserve">Source</t>
  </si>
  <si>
    <t xml:space="preserve">Typical Award</t>
  </si>
  <si>
    <t xml:space="preserve">Community Food Projects Competitive Grant (CFPCGP)</t>
  </si>
  <si>
    <t xml:space="preserve">USDA NIFA</t>
  </si>
  <si>
    <t xml:space="preserve">Planning $25K–$50K; Full $125K–$400K</t>
  </si>
  <si>
    <t xml:space="preserve">Micro-Grants for Food Security Program</t>
  </si>
  <si>
    <t xml:space="preserve">USDA AMS / FDACS</t>
  </si>
  <si>
    <t xml:space="preserve">Varies by state allocation</t>
  </si>
  <si>
    <t xml:space="preserve">Emergency Food and Shelter Program</t>
  </si>
  <si>
    <t xml:space="preserve">FEMA (local board)</t>
  </si>
  <si>
    <t xml:space="preserve">Local board-set awards</t>
  </si>
  <si>
    <t xml:space="preserve">Corporate/community grants (Publix, Walmart, United Way)</t>
  </si>
  <si>
    <t xml:space="preserve">Private/corporate</t>
  </si>
  <si>
    <t xml:space="preserve">$1K–$25K typical</t>
  </si>
  <si>
    <t xml:space="preserve">Patrick Leahy Farm to School Grant</t>
  </si>
  <si>
    <t xml:space="preserve">USDA FNS</t>
  </si>
  <si>
    <t xml:space="preserve">$100K–$500K (FY26 pool $18M)</t>
  </si>
  <si>
    <t xml:space="preserve">Value-Added Producer Grant (VAPG)</t>
  </si>
  <si>
    <t xml:space="preserve">USDA Rural Development</t>
  </si>
  <si>
    <t xml:space="preserve">Planning to $75K / Working capital to $250K</t>
  </si>
  <si>
    <t xml:space="preserve">Community Facilities Direct Loan &amp; Grant</t>
  </si>
  <si>
    <t xml:space="preserve">Varies, rural-area restricted</t>
  </si>
  <si>
    <t xml:space="preserve">Environmental Quality Incentives Program (EQIP)</t>
  </si>
  <si>
    <t xml:space="preserve">USDA NRCS</t>
  </si>
  <si>
    <t xml:space="preserve">Cost-share, project-based</t>
  </si>
  <si>
    <t xml:space="preserve">Specialty Crop Block Grant Program</t>
  </si>
  <si>
    <t xml:space="preserve">Varies, state-administered</t>
  </si>
  <si>
    <t xml:space="preserve">WIOA Youth/Adult workforce funding</t>
  </si>
  <si>
    <t xml:space="preserve">U.S. DOL / CareerSource</t>
  </si>
  <si>
    <t xml:space="preserve">Varies, contract-based</t>
  </si>
  <si>
    <t xml:space="preserve">Beginning Farmer and Rancher Development Program</t>
  </si>
  <si>
    <t xml:space="preserve">Varies, competitive</t>
  </si>
  <si>
    <t xml:space="preserve">National / Florida FFA Foundation grants</t>
  </si>
  <si>
    <t xml:space="preserve">FFA Foundation</t>
  </si>
  <si>
    <t xml:space="preserve">Varies, program-specific</t>
  </si>
  <si>
    <t xml:space="preserve">Florida 4-H Foundation grants</t>
  </si>
  <si>
    <t xml:space="preserve">UF/IFAS Florida 4-H</t>
  </si>
  <si>
    <t xml:space="preserve">Farm Labor Housing Direct Loans &amp; Grants (Sec. 514/516)</t>
  </si>
  <si>
    <t xml:space="preserve">Loan + grant, project-based</t>
  </si>
  <si>
    <t xml:space="preserve">Continuum of Care (CoC) Program</t>
  </si>
  <si>
    <t xml:space="preserve">HUD</t>
  </si>
  <si>
    <t xml:space="preserve">State Apartment Incentive Loan (SAIL)</t>
  </si>
  <si>
    <t xml:space="preserve">Florida Housing Finance Corp</t>
  </si>
  <si>
    <t xml:space="preserve">Source: AgroHouse Foundation™ Final Document, July 2026 — Grants &amp; Funding Strategy by Program, pp.20–24. Confirm current award amounts/deadlines on each agency’s site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</si>
</sst>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B7862C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D2B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D2B"/>
        <bgColor rgb="FF333300"/>
      </patternFill>
    </fill>
    <fill>
      <patternFill patternType="solid">
        <fgColor rgb="FFFBF1DF"/>
        <bgColor rgb="FFE8F0E5"/>
      </patternFill>
    </fill>
    <fill>
      <patternFill patternType="solid">
        <fgColor rgb="FFE8F0E5"/>
        <bgColor rgb="FFFBF1D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rgb="FFBFBFB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862C"/>
      <rgbColor rgb="FF800080"/>
      <rgbColor rgb="FF008080"/>
      <rgbColor rgb="FFBFBFBF"/>
      <rgbColor rgb="FF808080"/>
      <rgbColor rgb="FF9999FF"/>
      <rgbColor rgb="FF993366"/>
      <rgbColor rgb="FFFBF1D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6" min="3" style="0" width="20"/>
    <col collapsed="false" customWidth="true" hidden="false" outlineLevel="0" max="7" min="7" style="0" width="44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27.7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23.8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customFormat="false" ht="23.85" hidden="false" customHeight="false" outlineLevel="0" collapsed="false">
      <c r="B7" s="5" t="s">
        <v>9</v>
      </c>
      <c r="C7" s="6" t="s">
        <v>10</v>
      </c>
      <c r="D7" s="7" t="n">
        <v>70000</v>
      </c>
      <c r="E7" s="7" t="n">
        <v>150000</v>
      </c>
      <c r="F7" s="8" t="n">
        <v>0</v>
      </c>
      <c r="G7" s="9" t="s">
        <v>11</v>
      </c>
    </row>
    <row r="8" customFormat="false" ht="35.05" hidden="false" customHeight="false" outlineLevel="0" collapsed="false">
      <c r="B8" s="5" t="s">
        <v>12</v>
      </c>
      <c r="C8" s="6" t="s">
        <v>13</v>
      </c>
      <c r="D8" s="7" t="n">
        <v>250000</v>
      </c>
      <c r="E8" s="7" t="n">
        <v>500000</v>
      </c>
      <c r="F8" s="8" t="n">
        <v>7620</v>
      </c>
      <c r="G8" s="9" t="s">
        <v>14</v>
      </c>
    </row>
    <row r="9" customFormat="false" ht="35.05" hidden="false" customHeight="false" outlineLevel="0" collapsed="false">
      <c r="B9" s="5" t="s">
        <v>15</v>
      </c>
      <c r="C9" s="6" t="s">
        <v>16</v>
      </c>
      <c r="D9" s="7" t="n">
        <v>100000</v>
      </c>
      <c r="E9" s="7" t="n">
        <v>200000</v>
      </c>
      <c r="F9" s="8" t="n">
        <v>0</v>
      </c>
      <c r="G9" s="9" t="s">
        <v>17</v>
      </c>
    </row>
    <row r="10" customFormat="false" ht="35.05" hidden="false" customHeight="false" outlineLevel="0" collapsed="false">
      <c r="B10" s="5" t="s">
        <v>18</v>
      </c>
      <c r="C10" s="6" t="s">
        <v>19</v>
      </c>
      <c r="D10" s="7" t="n">
        <v>325000</v>
      </c>
      <c r="E10" s="7" t="n">
        <v>840000</v>
      </c>
      <c r="F10" s="8" t="n">
        <v>0</v>
      </c>
      <c r="G10" s="9" t="s">
        <v>20</v>
      </c>
    </row>
    <row r="11" customFormat="false" ht="15" hidden="false" customHeight="false" outlineLevel="0" collapsed="false">
      <c r="B11" s="10" t="s">
        <v>21</v>
      </c>
      <c r="C11" s="10" t="s">
        <v>22</v>
      </c>
      <c r="D11" s="11" t="n">
        <f aca="false">SUM(D7:D10)</f>
        <v>745000</v>
      </c>
      <c r="E11" s="11" t="n">
        <f aca="false">SUM(E7:E10)</f>
        <v>1690000</v>
      </c>
      <c r="F11" s="11" t="n">
        <f aca="false">SUM(F7:F10)</f>
        <v>7620</v>
      </c>
      <c r="G11" s="10"/>
    </row>
    <row r="12" customFormat="false" ht="23.85" hidden="false" customHeight="false" outlineLevel="0" collapsed="false">
      <c r="B12" s="12" t="s">
        <v>23</v>
      </c>
      <c r="C12" s="12" t="s">
        <v>24</v>
      </c>
      <c r="D12" s="13" t="n">
        <f aca="false">D7+D8</f>
        <v>320000</v>
      </c>
      <c r="E12" s="13" t="n">
        <f aca="false">E7+E8</f>
        <v>650000</v>
      </c>
      <c r="F12" s="13" t="n">
        <f aca="false">F7+F8</f>
        <v>7620</v>
      </c>
      <c r="G12" s="12"/>
    </row>
    <row r="14" customFormat="false" ht="15" hidden="false" customHeight="false" outlineLevel="0" collapsed="false">
      <c r="B14" s="14" t="s">
        <v>25</v>
      </c>
      <c r="C14" s="14"/>
      <c r="D14" s="14"/>
      <c r="E14" s="14"/>
      <c r="F14" s="14"/>
      <c r="G14" s="14"/>
    </row>
    <row r="15" customFormat="false" ht="15" hidden="false" customHeight="false" outlineLevel="0" collapsed="false">
      <c r="B15" s="4" t="s">
        <v>26</v>
      </c>
      <c r="C15" s="4" t="s">
        <v>27</v>
      </c>
      <c r="D15" s="4" t="s">
        <v>28</v>
      </c>
      <c r="E15" s="4" t="s">
        <v>29</v>
      </c>
    </row>
    <row r="16" customFormat="false" ht="32.8" hidden="false" customHeight="false" outlineLevel="0" collapsed="false">
      <c r="B16" s="5" t="s">
        <v>30</v>
      </c>
      <c r="C16" s="15" t="s">
        <v>31</v>
      </c>
      <c r="D16" s="7" t="n">
        <v>3600</v>
      </c>
      <c r="E16" s="7" t="n">
        <v>5600</v>
      </c>
    </row>
    <row r="17" customFormat="false" ht="32.8" hidden="false" customHeight="false" outlineLevel="0" collapsed="false">
      <c r="B17" s="5" t="s">
        <v>32</v>
      </c>
      <c r="C17" s="15" t="s">
        <v>33</v>
      </c>
      <c r="D17" s="7" t="n">
        <v>300</v>
      </c>
      <c r="E17" s="7" t="n">
        <v>750</v>
      </c>
    </row>
    <row r="18" customFormat="false" ht="15" hidden="false" customHeight="false" outlineLevel="0" collapsed="false">
      <c r="B18" s="10" t="s">
        <v>34</v>
      </c>
      <c r="C18" s="10"/>
      <c r="D18" s="16" t="n">
        <f aca="false">SUM(D16:D17)</f>
        <v>3900</v>
      </c>
      <c r="E18" s="16" t="n">
        <f aca="false">SUM(E16:E17)</f>
        <v>6350</v>
      </c>
    </row>
    <row r="20" customFormat="false" ht="15" hidden="false" customHeight="true" outlineLevel="0" collapsed="false">
      <c r="B20" s="17" t="s">
        <v>35</v>
      </c>
      <c r="C20" s="17"/>
      <c r="D20" s="17"/>
      <c r="E20" s="17"/>
      <c r="F20" s="17"/>
      <c r="G20" s="17"/>
    </row>
  </sheetData>
  <mergeCells count="5">
    <mergeCell ref="B2:G2"/>
    <mergeCell ref="B3:G3"/>
    <mergeCell ref="B4:G4"/>
    <mergeCell ref="B14:G14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8"/>
    <col collapsed="false" customWidth="true" hidden="false" outlineLevel="0" max="6" min="6" style="0" width="46"/>
  </cols>
  <sheetData>
    <row r="2" customFormat="false" ht="24" hidden="false" customHeight="true" outlineLevel="0" collapsed="false">
      <c r="B2" s="18" t="s">
        <v>36</v>
      </c>
      <c r="C2" s="18"/>
      <c r="D2" s="18"/>
      <c r="E2" s="18"/>
      <c r="F2" s="18"/>
    </row>
    <row r="4" customFormat="false" ht="15" hidden="false" customHeight="false" outlineLevel="0" collapsed="false">
      <c r="B4" s="14" t="s">
        <v>37</v>
      </c>
      <c r="C4" s="14"/>
      <c r="D4" s="14"/>
      <c r="E4" s="14"/>
      <c r="F4" s="14"/>
    </row>
    <row r="5" customFormat="false" ht="15" hidden="false" customHeight="false" outlineLevel="0" collapsed="false">
      <c r="B5" s="4" t="s">
        <v>26</v>
      </c>
      <c r="C5" s="4" t="s">
        <v>38</v>
      </c>
      <c r="D5" s="4" t="s">
        <v>39</v>
      </c>
      <c r="E5" s="4" t="s">
        <v>8</v>
      </c>
    </row>
    <row r="6" customFormat="false" ht="53.7" hidden="false" customHeight="false" outlineLevel="0" collapsed="false">
      <c r="B6" s="6" t="s">
        <v>40</v>
      </c>
      <c r="C6" s="7" t="n">
        <v>70000</v>
      </c>
      <c r="D6" s="7" t="n">
        <v>150000</v>
      </c>
      <c r="E6" s="9" t="s">
        <v>41</v>
      </c>
    </row>
    <row r="8" customFormat="false" ht="15" hidden="false" customHeight="false" outlineLevel="0" collapsed="false">
      <c r="B8" s="14" t="s">
        <v>42</v>
      </c>
      <c r="C8" s="14"/>
      <c r="D8" s="14"/>
      <c r="E8" s="14"/>
      <c r="F8" s="14"/>
    </row>
    <row r="9" customFormat="false" ht="15" hidden="false" customHeight="false" outlineLevel="0" collapsed="false">
      <c r="B9" s="4" t="s">
        <v>26</v>
      </c>
      <c r="C9" s="4" t="s">
        <v>38</v>
      </c>
      <c r="D9" s="4" t="s">
        <v>39</v>
      </c>
      <c r="E9" s="4" t="s">
        <v>8</v>
      </c>
    </row>
    <row r="10" customFormat="false" ht="35.05" hidden="false" customHeight="false" outlineLevel="0" collapsed="false">
      <c r="B10" s="6" t="s">
        <v>43</v>
      </c>
      <c r="C10" s="7" t="n">
        <v>250000</v>
      </c>
      <c r="D10" s="7" t="n">
        <v>500000</v>
      </c>
      <c r="E10" s="9" t="s">
        <v>44</v>
      </c>
    </row>
    <row r="11" customFormat="false" ht="32.8" hidden="false" customHeight="false" outlineLevel="0" collapsed="false">
      <c r="B11" s="6" t="s">
        <v>45</v>
      </c>
      <c r="C11" s="7" t="n">
        <v>900000</v>
      </c>
      <c r="D11" s="7" t="n">
        <v>1600000</v>
      </c>
      <c r="E11" s="9" t="s">
        <v>46</v>
      </c>
    </row>
    <row r="13" customFormat="false" ht="15" hidden="false" customHeight="true" outlineLevel="0" collapsed="false">
      <c r="B13" s="5" t="s">
        <v>47</v>
      </c>
      <c r="C13" s="5"/>
      <c r="D13" s="5"/>
      <c r="E13" s="5"/>
    </row>
    <row r="14" customFormat="false" ht="22.35" hidden="false" customHeight="false" outlineLevel="0" collapsed="false">
      <c r="B14" s="15" t="s">
        <v>48</v>
      </c>
      <c r="C14" s="7" t="n">
        <v>500</v>
      </c>
      <c r="D14" s="7" t="n">
        <v>600</v>
      </c>
      <c r="E14" s="6"/>
    </row>
    <row r="15" customFormat="false" ht="15" hidden="false" customHeight="false" outlineLevel="0" collapsed="false">
      <c r="B15" s="15" t="s">
        <v>49</v>
      </c>
      <c r="C15" s="7" t="n">
        <v>1000</v>
      </c>
      <c r="D15" s="7" t="n">
        <v>1500</v>
      </c>
      <c r="E15" s="6"/>
    </row>
    <row r="16" customFormat="false" ht="22.35" hidden="false" customHeight="false" outlineLevel="0" collapsed="false">
      <c r="B16" s="15" t="s">
        <v>50</v>
      </c>
      <c r="C16" s="7" t="n">
        <v>600</v>
      </c>
      <c r="D16" s="7" t="n">
        <v>1000</v>
      </c>
      <c r="E16" s="6"/>
    </row>
    <row r="17" customFormat="false" ht="15" hidden="false" customHeight="false" outlineLevel="0" collapsed="false">
      <c r="B17" s="15" t="s">
        <v>51</v>
      </c>
      <c r="C17" s="7" t="n">
        <v>1500</v>
      </c>
      <c r="D17" s="7" t="n">
        <v>2500</v>
      </c>
      <c r="E17" s="6"/>
    </row>
    <row r="18" customFormat="false" ht="22.35" hidden="false" customHeight="false" outlineLevel="0" collapsed="false">
      <c r="B18" s="15" t="s">
        <v>52</v>
      </c>
      <c r="C18" s="7" t="n">
        <v>300</v>
      </c>
      <c r="D18" s="7" t="n">
        <v>750</v>
      </c>
      <c r="E18" s="6"/>
    </row>
    <row r="19" customFormat="false" ht="15" hidden="false" customHeight="false" outlineLevel="0" collapsed="false">
      <c r="B19" s="19" t="s">
        <v>53</v>
      </c>
      <c r="C19" s="16" t="n">
        <f aca="false">SUM(C14:C18)</f>
        <v>3900</v>
      </c>
      <c r="D19" s="16" t="n">
        <f aca="false">SUM(D14:D18)</f>
        <v>6350</v>
      </c>
      <c r="E19" s="6"/>
    </row>
    <row r="21" customFormat="false" ht="15" hidden="false" customHeight="false" outlineLevel="0" collapsed="false">
      <c r="B21" s="14" t="s">
        <v>54</v>
      </c>
      <c r="C21" s="14"/>
      <c r="D21" s="14"/>
      <c r="E21" s="14"/>
      <c r="F21" s="14"/>
    </row>
    <row r="22" customFormat="false" ht="15" hidden="false" customHeight="false" outlineLevel="0" collapsed="false">
      <c r="B22" s="4" t="s">
        <v>26</v>
      </c>
      <c r="C22" s="4" t="s">
        <v>38</v>
      </c>
      <c r="D22" s="4" t="s">
        <v>39</v>
      </c>
      <c r="E22" s="4" t="s">
        <v>8</v>
      </c>
    </row>
    <row r="23" customFormat="false" ht="53.7" hidden="false" customHeight="false" outlineLevel="0" collapsed="false">
      <c r="B23" s="6" t="s">
        <v>55</v>
      </c>
      <c r="C23" s="7" t="n">
        <v>100000</v>
      </c>
      <c r="D23" s="7" t="n">
        <v>200000</v>
      </c>
      <c r="E23" s="9" t="s">
        <v>56</v>
      </c>
    </row>
    <row r="25" customFormat="false" ht="15" hidden="false" customHeight="false" outlineLevel="0" collapsed="false">
      <c r="B25" s="14" t="s">
        <v>57</v>
      </c>
      <c r="C25" s="14"/>
      <c r="D25" s="14"/>
      <c r="E25" s="14"/>
      <c r="F25" s="14"/>
    </row>
    <row r="26" customFormat="false" ht="15" hidden="false" customHeight="false" outlineLevel="0" collapsed="false">
      <c r="B26" s="4" t="s">
        <v>26</v>
      </c>
      <c r="C26" s="4" t="s">
        <v>38</v>
      </c>
      <c r="D26" s="4" t="s">
        <v>39</v>
      </c>
      <c r="E26" s="4" t="s">
        <v>8</v>
      </c>
    </row>
    <row r="27" customFormat="false" ht="85.05" hidden="false" customHeight="false" outlineLevel="0" collapsed="false">
      <c r="B27" s="6" t="s">
        <v>58</v>
      </c>
      <c r="C27" s="7" t="n">
        <v>325000</v>
      </c>
      <c r="D27" s="7" t="n">
        <v>840000</v>
      </c>
      <c r="E27" s="9" t="s">
        <v>59</v>
      </c>
    </row>
    <row r="29" customFormat="false" ht="15" hidden="false" customHeight="true" outlineLevel="0" collapsed="false">
      <c r="B29" s="17" t="s">
        <v>60</v>
      </c>
      <c r="C29" s="17"/>
      <c r="D29" s="17"/>
      <c r="E29" s="17"/>
      <c r="F29" s="17"/>
    </row>
  </sheetData>
  <mergeCells count="7">
    <mergeCell ref="B2:F2"/>
    <mergeCell ref="B4:F4"/>
    <mergeCell ref="B8:F8"/>
    <mergeCell ref="B13:E13"/>
    <mergeCell ref="B21:F21"/>
    <mergeCell ref="B25:F25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46"/>
  </cols>
  <sheetData>
    <row r="2" customFormat="false" ht="24" hidden="false" customHeight="true" outlineLevel="0" collapsed="false">
      <c r="B2" s="18" t="s">
        <v>61</v>
      </c>
      <c r="C2" s="18"/>
      <c r="D2" s="18"/>
      <c r="E2" s="18"/>
      <c r="F2" s="18"/>
    </row>
    <row r="3" customFormat="false" ht="27.75" hidden="false" customHeight="true" outlineLevel="0" collapsed="false">
      <c r="B3" s="3" t="s">
        <v>62</v>
      </c>
      <c r="C3" s="3"/>
      <c r="D3" s="3"/>
      <c r="E3" s="3"/>
      <c r="F3" s="3"/>
    </row>
    <row r="5" customFormat="false" ht="15" hidden="false" customHeight="false" outlineLevel="0" collapsed="false">
      <c r="B5" s="14" t="s">
        <v>63</v>
      </c>
      <c r="C5" s="14"/>
      <c r="D5" s="14"/>
      <c r="E5" s="14"/>
      <c r="F5" s="14"/>
    </row>
    <row r="6" customFormat="false" ht="23.85" hidden="false" customHeight="false" outlineLevel="0" collapsed="false">
      <c r="B6" s="4" t="s">
        <v>64</v>
      </c>
      <c r="C6" s="4" t="s">
        <v>65</v>
      </c>
      <c r="D6" s="4" t="s">
        <v>66</v>
      </c>
      <c r="E6" s="4" t="s">
        <v>67</v>
      </c>
    </row>
    <row r="7" customFormat="false" ht="15" hidden="false" customHeight="false" outlineLevel="0" collapsed="false">
      <c r="B7" s="6" t="s">
        <v>68</v>
      </c>
      <c r="C7" s="7" t="n">
        <v>30</v>
      </c>
      <c r="D7" s="20" t="n">
        <v>15</v>
      </c>
      <c r="E7" s="8" t="n">
        <f aca="false">C7*D7</f>
        <v>450</v>
      </c>
    </row>
    <row r="8" customFormat="false" ht="15" hidden="false" customHeight="false" outlineLevel="0" collapsed="false">
      <c r="B8" s="6" t="s">
        <v>69</v>
      </c>
      <c r="C8" s="7" t="n">
        <v>150</v>
      </c>
      <c r="D8" s="20" t="n">
        <v>6</v>
      </c>
      <c r="E8" s="8" t="n">
        <f aca="false">C8*D8</f>
        <v>900</v>
      </c>
    </row>
    <row r="9" customFormat="false" ht="15" hidden="false" customHeight="false" outlineLevel="0" collapsed="false">
      <c r="B9" s="6" t="s">
        <v>70</v>
      </c>
      <c r="C9" s="7" t="n">
        <v>750</v>
      </c>
      <c r="D9" s="20" t="n">
        <v>0</v>
      </c>
      <c r="E9" s="8" t="n">
        <f aca="false">C9*D9</f>
        <v>0</v>
      </c>
    </row>
    <row r="10" customFormat="false" ht="23.85" hidden="false" customHeight="false" outlineLevel="0" collapsed="false">
      <c r="B10" s="6" t="s">
        <v>71</v>
      </c>
      <c r="C10" s="7" t="n">
        <v>150</v>
      </c>
      <c r="D10" s="20" t="n">
        <v>10</v>
      </c>
      <c r="E10" s="8" t="n">
        <f aca="false">C10*D10</f>
        <v>1500</v>
      </c>
    </row>
    <row r="12" customFormat="false" ht="15" hidden="false" customHeight="false" outlineLevel="0" collapsed="false">
      <c r="B12" s="14" t="s">
        <v>72</v>
      </c>
      <c r="C12" s="14"/>
      <c r="D12" s="14"/>
      <c r="E12" s="14"/>
      <c r="F12" s="14"/>
    </row>
    <row r="13" customFormat="false" ht="23.85" hidden="false" customHeight="false" outlineLevel="0" collapsed="false">
      <c r="B13" s="4" t="s">
        <v>64</v>
      </c>
      <c r="C13" s="4" t="s">
        <v>73</v>
      </c>
      <c r="D13" s="4" t="s">
        <v>66</v>
      </c>
      <c r="E13" s="4" t="s">
        <v>67</v>
      </c>
    </row>
    <row r="14" customFormat="false" ht="23.85" hidden="false" customHeight="false" outlineLevel="0" collapsed="false">
      <c r="B14" s="6" t="s">
        <v>74</v>
      </c>
      <c r="C14" s="7" t="n">
        <v>35</v>
      </c>
      <c r="D14" s="20" t="n">
        <v>20</v>
      </c>
      <c r="E14" s="8" t="n">
        <f aca="false">C14*D14</f>
        <v>700</v>
      </c>
    </row>
    <row r="15" customFormat="false" ht="15" hidden="false" customHeight="false" outlineLevel="0" collapsed="false">
      <c r="B15" s="6" t="s">
        <v>75</v>
      </c>
      <c r="C15" s="7" t="n">
        <v>12</v>
      </c>
      <c r="D15" s="20" t="n">
        <v>40</v>
      </c>
      <c r="E15" s="8" t="n">
        <f aca="false">C15*D15</f>
        <v>480</v>
      </c>
    </row>
    <row r="16" customFormat="false" ht="15" hidden="false" customHeight="false" outlineLevel="0" collapsed="false">
      <c r="B16" s="6" t="s">
        <v>76</v>
      </c>
      <c r="C16" s="7" t="n">
        <v>25</v>
      </c>
      <c r="D16" s="20" t="n">
        <v>20</v>
      </c>
      <c r="E16" s="8" t="n">
        <f aca="false">C16*D16</f>
        <v>500</v>
      </c>
    </row>
    <row r="17" customFormat="false" ht="15" hidden="false" customHeight="false" outlineLevel="0" collapsed="false">
      <c r="B17" s="6" t="s">
        <v>77</v>
      </c>
      <c r="C17" s="7" t="n">
        <v>8</v>
      </c>
      <c r="D17" s="20" t="n">
        <v>30</v>
      </c>
      <c r="E17" s="8" t="n">
        <f aca="false">C17*D17</f>
        <v>240</v>
      </c>
    </row>
    <row r="18" customFormat="false" ht="15" hidden="false" customHeight="false" outlineLevel="0" collapsed="false">
      <c r="B18" s="6" t="s">
        <v>78</v>
      </c>
      <c r="C18" s="7" t="n">
        <v>6</v>
      </c>
      <c r="D18" s="20" t="n">
        <v>100</v>
      </c>
      <c r="E18" s="8" t="n">
        <f aca="false">C18*D18</f>
        <v>600</v>
      </c>
    </row>
    <row r="20" customFormat="false" ht="15" hidden="false" customHeight="true" outlineLevel="0" collapsed="false">
      <c r="B20" s="19" t="s">
        <v>79</v>
      </c>
      <c r="C20" s="19"/>
      <c r="D20" s="19"/>
      <c r="E20" s="16" t="n">
        <f aca="false">SUM(E7:E10)+SUM(E14:E18)</f>
        <v>5370</v>
      </c>
    </row>
    <row r="21" customFormat="false" ht="15" hidden="false" customHeight="true" outlineLevel="0" collapsed="false">
      <c r="B21" s="3" t="s">
        <v>80</v>
      </c>
      <c r="C21" s="3"/>
      <c r="D21" s="3"/>
      <c r="E21" s="3"/>
      <c r="F21" s="3"/>
    </row>
    <row r="23" customFormat="false" ht="15" hidden="false" customHeight="false" outlineLevel="0" collapsed="false">
      <c r="B23" s="14" t="s">
        <v>81</v>
      </c>
      <c r="C23" s="14"/>
      <c r="D23" s="14"/>
      <c r="E23" s="14"/>
      <c r="F23" s="14"/>
    </row>
    <row r="24" customFormat="false" ht="15" hidden="false" customHeight="false" outlineLevel="0" collapsed="false">
      <c r="B24" s="4" t="s">
        <v>82</v>
      </c>
      <c r="C24" s="4" t="s">
        <v>83</v>
      </c>
      <c r="D24" s="4"/>
      <c r="E24" s="4"/>
    </row>
    <row r="25" customFormat="false" ht="22.35" hidden="false" customHeight="true" outlineLevel="0" collapsed="false">
      <c r="B25" s="5" t="s">
        <v>84</v>
      </c>
      <c r="C25" s="21" t="s">
        <v>85</v>
      </c>
      <c r="D25" s="21"/>
      <c r="E25" s="21"/>
    </row>
    <row r="26" customFormat="false" ht="22.35" hidden="false" customHeight="true" outlineLevel="0" collapsed="false">
      <c r="B26" s="5" t="s">
        <v>86</v>
      </c>
      <c r="C26" s="21" t="s">
        <v>87</v>
      </c>
      <c r="D26" s="21"/>
      <c r="E26" s="21"/>
    </row>
    <row r="27" customFormat="false" ht="15" hidden="false" customHeight="true" outlineLevel="0" collapsed="false">
      <c r="B27" s="5" t="s">
        <v>88</v>
      </c>
      <c r="C27" s="21" t="s">
        <v>89</v>
      </c>
      <c r="D27" s="21"/>
      <c r="E27" s="21"/>
    </row>
    <row r="29" customFormat="false" ht="15" hidden="false" customHeight="false" outlineLevel="0" collapsed="false">
      <c r="B29" s="14" t="s">
        <v>90</v>
      </c>
      <c r="C29" s="14"/>
      <c r="D29" s="14"/>
      <c r="E29" s="14"/>
      <c r="F29" s="14"/>
    </row>
    <row r="30" customFormat="false" ht="22.35" hidden="false" customHeight="true" outlineLevel="0" collapsed="false">
      <c r="B30" s="5" t="s">
        <v>91</v>
      </c>
      <c r="C30" s="21" t="s">
        <v>92</v>
      </c>
      <c r="D30" s="21"/>
      <c r="E30" s="21"/>
    </row>
    <row r="31" customFormat="false" ht="23.85" hidden="false" customHeight="true" outlineLevel="0" collapsed="false">
      <c r="B31" s="5" t="s">
        <v>93</v>
      </c>
      <c r="C31" s="21" t="s">
        <v>94</v>
      </c>
      <c r="D31" s="21"/>
      <c r="E31" s="21"/>
    </row>
    <row r="32" customFormat="false" ht="32.8" hidden="false" customHeight="true" outlineLevel="0" collapsed="false">
      <c r="B32" s="5" t="s">
        <v>95</v>
      </c>
      <c r="C32" s="21" t="s">
        <v>96</v>
      </c>
      <c r="D32" s="21"/>
      <c r="E32" s="21"/>
    </row>
    <row r="34" customFormat="false" ht="25.5" hidden="false" customHeight="true" outlineLevel="0" collapsed="false">
      <c r="B34" s="17" t="s">
        <v>97</v>
      </c>
      <c r="C34" s="17"/>
      <c r="D34" s="17"/>
      <c r="E34" s="17"/>
      <c r="F34" s="17"/>
    </row>
  </sheetData>
  <mergeCells count="15">
    <mergeCell ref="B2:F2"/>
    <mergeCell ref="B3:F3"/>
    <mergeCell ref="B5:F5"/>
    <mergeCell ref="B12:F12"/>
    <mergeCell ref="B20:D20"/>
    <mergeCell ref="B21:F21"/>
    <mergeCell ref="B23:F23"/>
    <mergeCell ref="C25:E25"/>
    <mergeCell ref="C26:E26"/>
    <mergeCell ref="C27:E27"/>
    <mergeCell ref="B29:F29"/>
    <mergeCell ref="C30:E30"/>
    <mergeCell ref="C31:E31"/>
    <mergeCell ref="C32:E32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42"/>
  </cols>
  <sheetData>
    <row r="2" customFormat="false" ht="24" hidden="false" customHeight="true" outlineLevel="0" collapsed="false">
      <c r="B2" s="18" t="s">
        <v>98</v>
      </c>
      <c r="C2" s="18"/>
      <c r="D2" s="18"/>
      <c r="E2" s="18"/>
    </row>
    <row r="3" customFormat="false" ht="15" hidden="false" customHeight="true" outlineLevel="0" collapsed="false">
      <c r="B3" s="3" t="s">
        <v>99</v>
      </c>
      <c r="C3" s="3"/>
      <c r="D3" s="3"/>
      <c r="E3" s="3"/>
    </row>
    <row r="5" customFormat="false" ht="15" hidden="false" customHeight="false" outlineLevel="0" collapsed="false">
      <c r="B5" s="4" t="s">
        <v>3</v>
      </c>
      <c r="C5" s="4" t="s">
        <v>100</v>
      </c>
      <c r="D5" s="4" t="s">
        <v>101</v>
      </c>
      <c r="E5" s="4" t="s">
        <v>102</v>
      </c>
    </row>
    <row r="6" customFormat="false" ht="32.8" hidden="false" customHeight="false" outlineLevel="0" collapsed="false">
      <c r="B6" s="5" t="s">
        <v>9</v>
      </c>
      <c r="C6" s="15" t="s">
        <v>103</v>
      </c>
      <c r="D6" s="15" t="s">
        <v>104</v>
      </c>
      <c r="E6" s="15" t="s">
        <v>105</v>
      </c>
    </row>
    <row r="7" customFormat="false" ht="22.35" hidden="false" customHeight="false" outlineLevel="0" collapsed="false">
      <c r="B7" s="5" t="s">
        <v>9</v>
      </c>
      <c r="C7" s="15" t="s">
        <v>106</v>
      </c>
      <c r="D7" s="15" t="s">
        <v>107</v>
      </c>
      <c r="E7" s="15" t="s">
        <v>108</v>
      </c>
    </row>
    <row r="8" customFormat="false" ht="22.35" hidden="false" customHeight="false" outlineLevel="0" collapsed="false">
      <c r="B8" s="5" t="s">
        <v>9</v>
      </c>
      <c r="C8" s="15" t="s">
        <v>109</v>
      </c>
      <c r="D8" s="15" t="s">
        <v>110</v>
      </c>
      <c r="E8" s="15" t="s">
        <v>111</v>
      </c>
    </row>
    <row r="9" customFormat="false" ht="32.8" hidden="false" customHeight="false" outlineLevel="0" collapsed="false">
      <c r="B9" s="5" t="s">
        <v>9</v>
      </c>
      <c r="C9" s="15" t="s">
        <v>112</v>
      </c>
      <c r="D9" s="15" t="s">
        <v>113</v>
      </c>
      <c r="E9" s="15" t="s">
        <v>114</v>
      </c>
    </row>
    <row r="10" customFormat="false" ht="22.35" hidden="false" customHeight="false" outlineLevel="0" collapsed="false">
      <c r="B10" s="5" t="s">
        <v>12</v>
      </c>
      <c r="C10" s="15" t="s">
        <v>115</v>
      </c>
      <c r="D10" s="15" t="s">
        <v>116</v>
      </c>
      <c r="E10" s="15" t="s">
        <v>117</v>
      </c>
    </row>
    <row r="11" customFormat="false" ht="22.35" hidden="false" customHeight="false" outlineLevel="0" collapsed="false">
      <c r="B11" s="5" t="s">
        <v>12</v>
      </c>
      <c r="C11" s="15" t="s">
        <v>118</v>
      </c>
      <c r="D11" s="15" t="s">
        <v>119</v>
      </c>
      <c r="E11" s="15" t="s">
        <v>120</v>
      </c>
    </row>
    <row r="12" customFormat="false" ht="22.35" hidden="false" customHeight="false" outlineLevel="0" collapsed="false">
      <c r="B12" s="5" t="s">
        <v>12</v>
      </c>
      <c r="C12" s="15" t="s">
        <v>121</v>
      </c>
      <c r="D12" s="15" t="s">
        <v>119</v>
      </c>
      <c r="E12" s="15" t="s">
        <v>122</v>
      </c>
    </row>
    <row r="13" customFormat="false" ht="22.35" hidden="false" customHeight="false" outlineLevel="0" collapsed="false">
      <c r="B13" s="5" t="s">
        <v>12</v>
      </c>
      <c r="C13" s="15" t="s">
        <v>123</v>
      </c>
      <c r="D13" s="15" t="s">
        <v>124</v>
      </c>
      <c r="E13" s="15" t="s">
        <v>125</v>
      </c>
    </row>
    <row r="14" customFormat="false" ht="22.35" hidden="false" customHeight="false" outlineLevel="0" collapsed="false">
      <c r="B14" s="5" t="s">
        <v>12</v>
      </c>
      <c r="C14" s="15" t="s">
        <v>126</v>
      </c>
      <c r="D14" s="15" t="s">
        <v>107</v>
      </c>
      <c r="E14" s="15" t="s">
        <v>127</v>
      </c>
    </row>
    <row r="15" customFormat="false" ht="22.35" hidden="false" customHeight="false" outlineLevel="0" collapsed="false">
      <c r="B15" s="5" t="s">
        <v>15</v>
      </c>
      <c r="C15" s="15" t="s">
        <v>128</v>
      </c>
      <c r="D15" s="15" t="s">
        <v>129</v>
      </c>
      <c r="E15" s="15" t="s">
        <v>130</v>
      </c>
    </row>
    <row r="16" customFormat="false" ht="32.8" hidden="false" customHeight="false" outlineLevel="0" collapsed="false">
      <c r="B16" s="5" t="s">
        <v>15</v>
      </c>
      <c r="C16" s="15" t="s">
        <v>131</v>
      </c>
      <c r="D16" s="15" t="s">
        <v>104</v>
      </c>
      <c r="E16" s="15" t="s">
        <v>132</v>
      </c>
    </row>
    <row r="17" customFormat="false" ht="22.35" hidden="false" customHeight="false" outlineLevel="0" collapsed="false">
      <c r="B17" s="5" t="s">
        <v>15</v>
      </c>
      <c r="C17" s="15" t="s">
        <v>133</v>
      </c>
      <c r="D17" s="15" t="s">
        <v>134</v>
      </c>
      <c r="E17" s="15" t="s">
        <v>135</v>
      </c>
    </row>
    <row r="18" customFormat="false" ht="22.35" hidden="false" customHeight="false" outlineLevel="0" collapsed="false">
      <c r="B18" s="5" t="s">
        <v>15</v>
      </c>
      <c r="C18" s="15" t="s">
        <v>136</v>
      </c>
      <c r="D18" s="15" t="s">
        <v>137</v>
      </c>
      <c r="E18" s="15" t="s">
        <v>135</v>
      </c>
    </row>
    <row r="19" customFormat="false" ht="32.8" hidden="false" customHeight="false" outlineLevel="0" collapsed="false">
      <c r="B19" s="5" t="s">
        <v>18</v>
      </c>
      <c r="C19" s="15" t="s">
        <v>138</v>
      </c>
      <c r="D19" s="15" t="s">
        <v>119</v>
      </c>
      <c r="E19" s="15" t="s">
        <v>139</v>
      </c>
    </row>
    <row r="20" customFormat="false" ht="22.35" hidden="false" customHeight="false" outlineLevel="0" collapsed="false">
      <c r="B20" s="5" t="s">
        <v>18</v>
      </c>
      <c r="C20" s="15" t="s">
        <v>140</v>
      </c>
      <c r="D20" s="15" t="s">
        <v>141</v>
      </c>
      <c r="E20" s="15" t="s">
        <v>132</v>
      </c>
    </row>
    <row r="21" customFormat="false" ht="22.35" hidden="false" customHeight="false" outlineLevel="0" collapsed="false">
      <c r="B21" s="5" t="s">
        <v>18</v>
      </c>
      <c r="C21" s="15" t="s">
        <v>142</v>
      </c>
      <c r="D21" s="15" t="s">
        <v>143</v>
      </c>
      <c r="E21" s="15" t="s">
        <v>132</v>
      </c>
    </row>
    <row r="23" customFormat="false" ht="19.4" hidden="false" customHeight="true" outlineLevel="0" collapsed="false">
      <c r="B23" s="17" t="s">
        <v>144</v>
      </c>
      <c r="C23" s="17"/>
      <c r="D23" s="17"/>
      <c r="E23" s="17"/>
    </row>
  </sheetData>
  <mergeCells count="3">
    <mergeCell ref="B2:E2"/>
    <mergeCell ref="B3:E3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2026-07-04T14:20:22Z</dcterms:created>
  <dc:creator>openpyxl</dc:creator>
  <dc:description/>
  <dc:language>en-US</dc:language>
  <cp:lastModifiedBy/>
  <dcterms:modified xsi:type="dcterms:W3CDTF">2026-07-04T14:20:22Z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