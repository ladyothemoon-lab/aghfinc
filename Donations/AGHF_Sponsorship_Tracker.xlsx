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iry\Desktop\Final AgroHouse Foundation Documents\Donations\"/>
    </mc:Choice>
  </mc:AlternateContent>
  <xr:revisionPtr revIDLastSave="0" documentId="13_ncr:1_{88F746AD-BF0A-4036-910E-5ABF51EA20D7}" xr6:coauthVersionLast="47" xr6:coauthVersionMax="47" xr10:uidLastSave="{00000000-0000-0000-0000-000000000000}"/>
  <bookViews>
    <workbookView xWindow="7425" yWindow="0" windowWidth="13170" windowHeight="11625" tabRatio="500" activeTab="2" xr2:uid="{00000000-000D-0000-FFFF-FFFF00000000}"/>
  </bookViews>
  <sheets>
    <sheet name="Dashboard" sheetId="1" r:id="rId1"/>
    <sheet name="Dropdown Lists" sheetId="2" r:id="rId2"/>
    <sheet name="Prospect Tracker" sheetId="3" r:id="rId3"/>
    <sheet name="Scoring &amp; Workflow Guid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7" i="1" l="1"/>
  <c r="E37" i="1" s="1"/>
  <c r="C37" i="1"/>
  <c r="D36" i="1"/>
  <c r="E36" i="1" s="1"/>
  <c r="C36" i="1"/>
  <c r="D35" i="1"/>
  <c r="E35" i="1" s="1"/>
  <c r="C35" i="1"/>
  <c r="D34" i="1"/>
  <c r="E34" i="1" s="1"/>
  <c r="C34" i="1"/>
  <c r="D33" i="1"/>
  <c r="C33" i="1"/>
  <c r="D32" i="1"/>
  <c r="C32" i="1"/>
  <c r="D31" i="1"/>
  <c r="E31" i="1" s="1"/>
  <c r="C31" i="1"/>
  <c r="D30" i="1"/>
  <c r="C30" i="1"/>
  <c r="E30" i="1" s="1"/>
  <c r="D29" i="1"/>
  <c r="C29" i="1"/>
  <c r="D28" i="1"/>
  <c r="C28" i="1"/>
  <c r="D27" i="1"/>
  <c r="E27" i="1" s="1"/>
  <c r="C27" i="1"/>
  <c r="D26" i="1"/>
  <c r="C26" i="1"/>
  <c r="D25" i="1"/>
  <c r="E25" i="1" s="1"/>
  <c r="C25" i="1"/>
  <c r="D24" i="1"/>
  <c r="C24" i="1"/>
  <c r="D23" i="1"/>
  <c r="E23" i="1" s="1"/>
  <c r="C23" i="1"/>
  <c r="D22" i="1"/>
  <c r="C22" i="1"/>
  <c r="D21" i="1"/>
  <c r="C21" i="1"/>
  <c r="F14" i="1"/>
  <c r="F13" i="1"/>
  <c r="F12" i="1"/>
  <c r="F11" i="1"/>
  <c r="F10" i="1"/>
  <c r="F9" i="1"/>
  <c r="F8" i="1"/>
  <c r="F7" i="1"/>
  <c r="E22" i="1" l="1"/>
  <c r="E32" i="1"/>
  <c r="E24" i="1"/>
  <c r="E26" i="1"/>
  <c r="F15" i="1"/>
  <c r="E29" i="1"/>
  <c r="E33" i="1"/>
  <c r="E21" i="1"/>
  <c r="E28" i="1"/>
</calcChain>
</file>

<file path=xl/sharedStrings.xml><?xml version="1.0" encoding="utf-8"?>
<sst xmlns="http://schemas.openxmlformats.org/spreadsheetml/2006/main" count="1259" uniqueCount="460">
  <si>
    <t>AgroHouse Foundation (AGHF)</t>
  </si>
  <si>
    <t>Community Business Sponsorship Dashboard — Program 1: Community Outreach Stabilization</t>
  </si>
  <si>
    <t>Maintained by: Susan Slater  |  Updated automatically from the Prospect Tracker tab</t>
  </si>
  <si>
    <t>KEY METRICS</t>
  </si>
  <si>
    <t>Total Businesses Identified</t>
  </si>
  <si>
    <t>Total Businesses Contacted</t>
  </si>
  <si>
    <t>Total Follow-Ups Due (next 7 days)</t>
  </si>
  <si>
    <t>Meetings Scheduled</t>
  </si>
  <si>
    <t>Sponsorships Approved</t>
  </si>
  <si>
    <t>Sponsorship Revenue Secured</t>
  </si>
  <si>
    <t>In-Kind Donations Secured</t>
  </si>
  <si>
    <t>Active Community Partners</t>
  </si>
  <si>
    <t>Conversion Rate (Approved ÷ Contacted)</t>
  </si>
  <si>
    <t>TOP BUSINESS CATEGORIES BY RESPONSE RATE</t>
  </si>
  <si>
    <t>Business Category</t>
  </si>
  <si>
    <t># Contacted</t>
  </si>
  <si>
    <t># Responded / Engaged</t>
  </si>
  <si>
    <t>Response Rate</t>
  </si>
  <si>
    <t>Independent Restaurant</t>
  </si>
  <si>
    <t>Coffee Shop</t>
  </si>
  <si>
    <t>Realtor / Real Estate Team</t>
  </si>
  <si>
    <t>Insurance Agency</t>
  </si>
  <si>
    <t>Mortgage Broker</t>
  </si>
  <si>
    <t>Title Company</t>
  </si>
  <si>
    <t>HVAC Contractor</t>
  </si>
  <si>
    <t>Plumber</t>
  </si>
  <si>
    <t>Electrician</t>
  </si>
  <si>
    <t>Roofing Company</t>
  </si>
  <si>
    <t>Landscaping Company</t>
  </si>
  <si>
    <t>Veterinary Clinic</t>
  </si>
  <si>
    <t>Chiropractic Office</t>
  </si>
  <si>
    <t>Feed Store</t>
  </si>
  <si>
    <t>Nursery / Garden Center</t>
  </si>
  <si>
    <t>Farm Supply</t>
  </si>
  <si>
    <t>Locally Owned Retail</t>
  </si>
  <si>
    <t>Note: This dashboard reads live from the Prospect Tracker tab. Update statuses there and these numbers refresh automatically.</t>
  </si>
  <si>
    <t>Outcome Status</t>
  </si>
  <si>
    <t>Sponsorship Level Discussed</t>
  </si>
  <si>
    <t>Yes / No</t>
  </si>
  <si>
    <t>City</t>
  </si>
  <si>
    <t>Assigned To</t>
  </si>
  <si>
    <t>Not Contacted</t>
  </si>
  <si>
    <t>Bronze</t>
  </si>
  <si>
    <t>Yes</t>
  </si>
  <si>
    <t>Wesley Chapel</t>
  </si>
  <si>
    <t>Susan Slater</t>
  </si>
  <si>
    <t>Researching</t>
  </si>
  <si>
    <t>Silver</t>
  </si>
  <si>
    <t>No</t>
  </si>
  <si>
    <t>Zephyrhills</t>
  </si>
  <si>
    <t>Board Member</t>
  </si>
  <si>
    <t>Contact Information Needed</t>
  </si>
  <si>
    <t>Gold</t>
  </si>
  <si>
    <t>Dade City</t>
  </si>
  <si>
    <t>Volunteer</t>
  </si>
  <si>
    <t>Email Sent</t>
  </si>
  <si>
    <t>Founding Sponsor</t>
  </si>
  <si>
    <t>Land O' Lakes</t>
  </si>
  <si>
    <t>Unassigned</t>
  </si>
  <si>
    <t>Voicemail Left</t>
  </si>
  <si>
    <t>In-Kind Only</t>
  </si>
  <si>
    <t>East Pasco County (Other)</t>
  </si>
  <si>
    <t>Spoke With Contact</t>
  </si>
  <si>
    <t>Not Yet Discussed</t>
  </si>
  <si>
    <t>Follow-Up Required</t>
  </si>
  <si>
    <t>Meeting Scheduled</t>
  </si>
  <si>
    <t>Proposal Sent</t>
  </si>
  <si>
    <t>Considering Sponsorship</t>
  </si>
  <si>
    <t>Interested for Future</t>
  </si>
  <si>
    <t>Sponsorship Approved</t>
  </si>
  <si>
    <t>Sponsorship Declined</t>
  </si>
  <si>
    <t>In-Kind Donation Received</t>
  </si>
  <si>
    <t>Community Partner Established</t>
  </si>
  <si>
    <t>No Response</t>
  </si>
  <si>
    <t>Do Not Contact</t>
  </si>
  <si>
    <t>Other</t>
  </si>
  <si>
    <t>AgroHouse Foundation — Local Business Sponsorship Prospect Tracker</t>
  </si>
  <si>
    <t>Program 1: Community Outreach Stabilization  |  Wesley Chapel · Zephyrhills · Dade City · Land O' Lakes · East Pasco County</t>
  </si>
  <si>
    <t>Legend: Yellow-filled cells are starter data already researched. White cells are for Susan/the team to fill in as outreach progresses (contact name, dates, notes, etc.).</t>
  </si>
  <si>
    <t>Business ID Number</t>
  </si>
  <si>
    <t>Business Name</t>
  </si>
  <si>
    <t>Contact Name</t>
  </si>
  <si>
    <t>Phone Number</t>
  </si>
  <si>
    <t>Email Address</t>
  </si>
  <si>
    <t>Website</t>
  </si>
  <si>
    <t>Facebook Page</t>
  </si>
  <si>
    <t>Date Added</t>
  </si>
  <si>
    <t>Initial Contact Date</t>
  </si>
  <si>
    <t>Follow-Up Date</t>
  </si>
  <si>
    <t>Second Follow-Up Date</t>
  </si>
  <si>
    <t>Sponsorship Amount Requested</t>
  </si>
  <si>
    <t>Sponsorship Amount Committed</t>
  </si>
  <si>
    <t>In-Kind Donation Offered</t>
  </si>
  <si>
    <t>Meeting Scheduled (Yes/No)</t>
  </si>
  <si>
    <t>Proposal Sent (Yes/No)</t>
  </si>
  <si>
    <t>Decision Date</t>
  </si>
  <si>
    <t>Notes</t>
  </si>
  <si>
    <t>Next Action Required</t>
  </si>
  <si>
    <t>Prospect Score (1-10)</t>
  </si>
  <si>
    <t>AGHF-001</t>
  </si>
  <si>
    <t>The Living Room of Wesley Chapel</t>
  </si>
  <si>
    <t>813-934-7911</t>
  </si>
  <si>
    <t>Research contact name/email; place initial call or visit</t>
  </si>
  <si>
    <t>AGHF-002</t>
  </si>
  <si>
    <t>La Creación Bistro</t>
  </si>
  <si>
    <t>813-388-5872</t>
  </si>
  <si>
    <t>AGHF-003</t>
  </si>
  <si>
    <t>Noble Crust of Wesley Chapel</t>
  </si>
  <si>
    <t>813-703-2602</t>
  </si>
  <si>
    <t>AGHF-004</t>
  </si>
  <si>
    <t>Tallo Restaurant &amp; Bar</t>
  </si>
  <si>
    <t>813-355-3603</t>
  </si>
  <si>
    <t>AGHF-005</t>
  </si>
  <si>
    <t>1916 Irish Pub Wesley Chapel</t>
  </si>
  <si>
    <t>813-991-4747</t>
  </si>
  <si>
    <t>AGHF-006</t>
  </si>
  <si>
    <t>Tina &amp; Joe's Cafe</t>
  </si>
  <si>
    <t>352-521-3051</t>
  </si>
  <si>
    <t>AGHF-007</t>
  </si>
  <si>
    <t>The Farmhouse Market &amp; Café</t>
  </si>
  <si>
    <t>352-437-5995</t>
  </si>
  <si>
    <t>AGHF-008</t>
  </si>
  <si>
    <t>Healthy Vibes Cafe</t>
  </si>
  <si>
    <t>301-752-9865</t>
  </si>
  <si>
    <t>AGHF-009</t>
  </si>
  <si>
    <t>The Original Floridian Bar &amp; Grill</t>
  </si>
  <si>
    <t>352-668-4064</t>
  </si>
  <si>
    <t>AGHF-010</t>
  </si>
  <si>
    <t>The Roost Market Cafe</t>
  </si>
  <si>
    <t>352-437-3055</t>
  </si>
  <si>
    <t>AGHF-011</t>
  </si>
  <si>
    <t>Olio</t>
  </si>
  <si>
    <t>352-437-3892</t>
  </si>
  <si>
    <t>AGHF-012</t>
  </si>
  <si>
    <t>Le Garden Bistro</t>
  </si>
  <si>
    <t>352-437-3721</t>
  </si>
  <si>
    <t>AGHF-013</t>
  </si>
  <si>
    <t>SR 54 Coffee &amp; Tea Co</t>
  </si>
  <si>
    <t>813-782-3775</t>
  </si>
  <si>
    <t>AGHF-014</t>
  </si>
  <si>
    <t>Pámpano Coffee</t>
  </si>
  <si>
    <t>AGHF-015</t>
  </si>
  <si>
    <t>Babe Coffee Lounge</t>
  </si>
  <si>
    <t>813-723-2223</t>
  </si>
  <si>
    <t>AGHF-016</t>
  </si>
  <si>
    <t>Empire Coffee &amp; Deli</t>
  </si>
  <si>
    <t>727-601-7816</t>
  </si>
  <si>
    <t>AGHF-017</t>
  </si>
  <si>
    <t>Urban Crunch Creamery Cafe - Bexley</t>
  </si>
  <si>
    <t>813-647-8618</t>
  </si>
  <si>
    <t>AGHF-018</t>
  </si>
  <si>
    <t>Cotee River Creamery &amp; Desserts</t>
  </si>
  <si>
    <t>352-242-7093</t>
  </si>
  <si>
    <t>AGHF-019</t>
  </si>
  <si>
    <t>54 Realty</t>
  </si>
  <si>
    <t>813-435-5411</t>
  </si>
  <si>
    <t>AGHF-020</t>
  </si>
  <si>
    <t>1 Percent Lists Central Florida</t>
  </si>
  <si>
    <t>727-967-9779</t>
  </si>
  <si>
    <t>AGHF-021</t>
  </si>
  <si>
    <t>First Integrity Real Estate LLC</t>
  </si>
  <si>
    <t>813-922-1565</t>
  </si>
  <si>
    <t>AGHF-022</t>
  </si>
  <si>
    <t>Tampa Bay Home Team</t>
  </si>
  <si>
    <t>813-321-4663</t>
  </si>
  <si>
    <t>AGHF-023</t>
  </si>
  <si>
    <t>Yvette Fuertes REALTOR – Art Of Realty Group</t>
  </si>
  <si>
    <t>813-310-9462</t>
  </si>
  <si>
    <t>AGHF-024</t>
  </si>
  <si>
    <t>Jeff Miller, Wesley Chapel REALTOR</t>
  </si>
  <si>
    <t>813-382-8312</t>
  </si>
  <si>
    <t>AGHF-025</t>
  </si>
  <si>
    <t>Statewide Insurance</t>
  </si>
  <si>
    <t>352-523-0800</t>
  </si>
  <si>
    <t>AGHF-026</t>
  </si>
  <si>
    <t>Clifton &amp; Lewis Inc</t>
  </si>
  <si>
    <t>352-353-0299</t>
  </si>
  <si>
    <t>AGHF-027</t>
  </si>
  <si>
    <t>Reliant Care Insurance FL</t>
  </si>
  <si>
    <t>352-707-5566</t>
  </si>
  <si>
    <t>AGHF-028</t>
  </si>
  <si>
    <t>My Easy Mortgage</t>
  </si>
  <si>
    <t>813-513-9846</t>
  </si>
  <si>
    <t>AGHF-029</t>
  </si>
  <si>
    <t>Smith Lending, LLC</t>
  </si>
  <si>
    <t>813-767-4247</t>
  </si>
  <si>
    <t>AGHF-030</t>
  </si>
  <si>
    <t>NEXA Mortgage – Florida Family Mortgage Team</t>
  </si>
  <si>
    <t>813-825-6555</t>
  </si>
  <si>
    <t>AGHF-031</t>
  </si>
  <si>
    <t>Bliss Mortgage LLC</t>
  </si>
  <si>
    <t>813-966-1888</t>
  </si>
  <si>
    <t>AGHF-032</t>
  </si>
  <si>
    <t>American Home Title of Land O'Lakes, Inc.</t>
  </si>
  <si>
    <t>813-948-1868</t>
  </si>
  <si>
    <t>AGHF-033</t>
  </si>
  <si>
    <t>Lotus Title &amp; Escrow</t>
  </si>
  <si>
    <t>813-755-6887</t>
  </si>
  <si>
    <t>AGHF-034</t>
  </si>
  <si>
    <t>Arrow Title, LLC</t>
  </si>
  <si>
    <t>813-994-3328</t>
  </si>
  <si>
    <t>AGHF-035</t>
  </si>
  <si>
    <t>Secure My Title</t>
  </si>
  <si>
    <t>727-275-8791</t>
  </si>
  <si>
    <t>AGHF-036</t>
  </si>
  <si>
    <t>AM Air Conditioning Service LLC</t>
  </si>
  <si>
    <t>813-452-7158</t>
  </si>
  <si>
    <t>AGHF-037</t>
  </si>
  <si>
    <t>Instant A/C</t>
  </si>
  <si>
    <t>813-591-0744</t>
  </si>
  <si>
    <t>AGHF-038</t>
  </si>
  <si>
    <t>KML Heating and Air</t>
  </si>
  <si>
    <t>352-739-7385</t>
  </si>
  <si>
    <t>AGHF-039</t>
  </si>
  <si>
    <t>Tampa AC Services Inc</t>
  </si>
  <si>
    <t>813-510-8876</t>
  </si>
  <si>
    <t>AGHF-040</t>
  </si>
  <si>
    <t>R&amp;L Plumbers</t>
  </si>
  <si>
    <t>813-755-8757</t>
  </si>
  <si>
    <t>AGHF-041</t>
  </si>
  <si>
    <t>Bahr Plumbing</t>
  </si>
  <si>
    <t>813-782-2524</t>
  </si>
  <si>
    <t>AGHF-042</t>
  </si>
  <si>
    <t>Bush Family Plumbing LLC</t>
  </si>
  <si>
    <t>813-923-2874</t>
  </si>
  <si>
    <t>AGHF-043</t>
  </si>
  <si>
    <t>Jim Mattice Plumbing</t>
  </si>
  <si>
    <t>813-782-4436</t>
  </si>
  <si>
    <t>AGHF-044</t>
  </si>
  <si>
    <t>Massey Plumbing</t>
  </si>
  <si>
    <t>352-206-4149</t>
  </si>
  <si>
    <t>AGHF-045</t>
  </si>
  <si>
    <t>Potential Power LLC</t>
  </si>
  <si>
    <t>813-486-6294</t>
  </si>
  <si>
    <t>AGHF-046</t>
  </si>
  <si>
    <t>Kazar's Electric Inc</t>
  </si>
  <si>
    <t>813-929-9500</t>
  </si>
  <si>
    <t>AGHF-047</t>
  </si>
  <si>
    <t>JN Electric</t>
  </si>
  <si>
    <t>813-948-1608</t>
  </si>
  <si>
    <t>AGHF-048</t>
  </si>
  <si>
    <t>Instant Electric</t>
  </si>
  <si>
    <t>813-680-1507</t>
  </si>
  <si>
    <t>AGHF-049</t>
  </si>
  <si>
    <t>Nations Roofing &amp; Construction LLC</t>
  </si>
  <si>
    <t>813-485-4440</t>
  </si>
  <si>
    <t>AGHF-050</t>
  </si>
  <si>
    <t>MilBar Construction &amp; Roofing Inc</t>
  </si>
  <si>
    <t>800-811-2476</t>
  </si>
  <si>
    <t>AGHF-051</t>
  </si>
  <si>
    <t>Prime Edge Roofers</t>
  </si>
  <si>
    <t>813-742-8599</t>
  </si>
  <si>
    <t>AGHF-052</t>
  </si>
  <si>
    <t>Complete Landscape Solutions LLC</t>
  </si>
  <si>
    <t>813-803-4890</t>
  </si>
  <si>
    <t>AGHF-053</t>
  </si>
  <si>
    <t>Turning Point Property Maintenance</t>
  </si>
  <si>
    <t>813-379-1006</t>
  </si>
  <si>
    <t>AGHF-054</t>
  </si>
  <si>
    <t>At Ease Landscaping</t>
  </si>
  <si>
    <t>813-727-5204</t>
  </si>
  <si>
    <t>AGHF-055</t>
  </si>
  <si>
    <t>Top Notch Landscaping and Lawn Care</t>
  </si>
  <si>
    <t>813-528-3275</t>
  </si>
  <si>
    <t>AGHF-056</t>
  </si>
  <si>
    <t>Livewell Animal Hospital of Wesley Chapel</t>
  </si>
  <si>
    <t>813-426-1331</t>
  </si>
  <si>
    <t>AGHF-057</t>
  </si>
  <si>
    <t>Quail Hollow Animal Hospital</t>
  </si>
  <si>
    <t>813-973-3010</t>
  </si>
  <si>
    <t>AGHF-058</t>
  </si>
  <si>
    <t>Partners Animal Hospital Wesley Chapel</t>
  </si>
  <si>
    <t>813-720-8053</t>
  </si>
  <si>
    <t>AGHF-059</t>
  </si>
  <si>
    <t>Whalen Chiropractic Center</t>
  </si>
  <si>
    <t>813-782-6060</t>
  </si>
  <si>
    <t>AGHF-060</t>
  </si>
  <si>
    <t>Integrative Health &amp; Wellness Center</t>
  </si>
  <si>
    <t>813-355-4061</t>
  </si>
  <si>
    <t>AGHF-061</t>
  </si>
  <si>
    <t>Fusion Health and Wellness</t>
  </si>
  <si>
    <t>352-567-9084</t>
  </si>
  <si>
    <t>AGHF-062</t>
  </si>
  <si>
    <t>Frank Clinic of Chiropractic P.A.</t>
  </si>
  <si>
    <t>813-788-0496</t>
  </si>
  <si>
    <t>AGHF-063</t>
  </si>
  <si>
    <t>Farmers Feed Depot</t>
  </si>
  <si>
    <t>352-567-3568</t>
  </si>
  <si>
    <t>AGHF-064</t>
  </si>
  <si>
    <t>Agri Feed, Inc</t>
  </si>
  <si>
    <t>AGHF-065</t>
  </si>
  <si>
    <t>Bliss Feed &amp; Supplies</t>
  </si>
  <si>
    <t>813-782-1129</t>
  </si>
  <si>
    <t>AGHF-066</t>
  </si>
  <si>
    <t>Swan's Feed Mill</t>
  </si>
  <si>
    <t>813-782-6969</t>
  </si>
  <si>
    <t>AGHF-067</t>
  </si>
  <si>
    <t>Champions Choice Feeds</t>
  </si>
  <si>
    <t>813-782-2333</t>
  </si>
  <si>
    <t>AGHF-068</t>
  </si>
  <si>
    <t>The Gardens Nursery and Rock Yard</t>
  </si>
  <si>
    <t>352-567-6350</t>
  </si>
  <si>
    <t>AGHF-069</t>
  </si>
  <si>
    <t>Bushel Stop Market LLC</t>
  </si>
  <si>
    <t>813-715-2082</t>
  </si>
  <si>
    <t>AGHF-070</t>
  </si>
  <si>
    <t>Shannon's Produce</t>
  </si>
  <si>
    <t>813-782-9455</t>
  </si>
  <si>
    <t>AGHF-071</t>
  </si>
  <si>
    <t>E &amp; Emagine</t>
  </si>
  <si>
    <t>813-862-7551</t>
  </si>
  <si>
    <t>AGHF-072</t>
  </si>
  <si>
    <t>AGHF-073</t>
  </si>
  <si>
    <t>AGHF-074</t>
  </si>
  <si>
    <t>AGHF-075</t>
  </si>
  <si>
    <t>AGHF-076</t>
  </si>
  <si>
    <t>AGHF-077</t>
  </si>
  <si>
    <t>AGHF-078</t>
  </si>
  <si>
    <t>AGHF-079</t>
  </si>
  <si>
    <t>AGHF-080</t>
  </si>
  <si>
    <t>AGHF-081</t>
  </si>
  <si>
    <t>AGHF-082</t>
  </si>
  <si>
    <t>AGHF-083</t>
  </si>
  <si>
    <t>AGHF-084</t>
  </si>
  <si>
    <t>AGHF-085</t>
  </si>
  <si>
    <t>AGHF-086</t>
  </si>
  <si>
    <t>AGHF-087</t>
  </si>
  <si>
    <t>AGHF-088</t>
  </si>
  <si>
    <t>AGHF-089</t>
  </si>
  <si>
    <t>AGHF-090</t>
  </si>
  <si>
    <t>AGHF-091</t>
  </si>
  <si>
    <t>AGHF-092</t>
  </si>
  <si>
    <t>AGHF-093</t>
  </si>
  <si>
    <t>AGHF-094</t>
  </si>
  <si>
    <t>AGHF-095</t>
  </si>
  <si>
    <t>AGHF-096</t>
  </si>
  <si>
    <t>AGHF-097</t>
  </si>
  <si>
    <t>AGHF-098</t>
  </si>
  <si>
    <t>AGHF-099</t>
  </si>
  <si>
    <t>AGHF-100</t>
  </si>
  <si>
    <t>AGHF-101</t>
  </si>
  <si>
    <t>AGHF-102</t>
  </si>
  <si>
    <t>AGHF-103</t>
  </si>
  <si>
    <t>AGHF-104</t>
  </si>
  <si>
    <t>AGHF-105</t>
  </si>
  <si>
    <t>AGHF-106</t>
  </si>
  <si>
    <t>AGHF-107</t>
  </si>
  <si>
    <t>AGHF-108</t>
  </si>
  <si>
    <t>AGHF-109</t>
  </si>
  <si>
    <t>AGHF-110</t>
  </si>
  <si>
    <t>AGHF-111</t>
  </si>
  <si>
    <t>Prospect Scoring System (1–10)</t>
  </si>
  <si>
    <t>Score</t>
  </si>
  <si>
    <t>Meaning</t>
  </si>
  <si>
    <t>Typical Signals</t>
  </si>
  <si>
    <t>9–10</t>
  </si>
  <si>
    <t>High-priority, warm relationship</t>
  </si>
  <si>
    <t>Existing personal/board connection; business owner known to AGHF team; strong local reputation; visible community involvement</t>
  </si>
  <si>
    <t>7–8</t>
  </si>
  <si>
    <t>Strong fit, cold but promising</t>
  </si>
  <si>
    <t>Independently owned; active on Facebook/Instagram in the community; located directly in target service area; already sponsors local events/schools</t>
  </si>
  <si>
    <t>5–6</t>
  </si>
  <si>
    <t>Reasonable fit, needs relationship-building</t>
  </si>
  <si>
    <t>Independently owned but no known connection yet; average online engagement; general community-facing business</t>
  </si>
  <si>
    <t>3–4</t>
  </si>
  <si>
    <t>Lower priority for now</t>
  </si>
  <si>
    <t>Very small operation with limited marketing budget; inconsistent hours/contact info; unclear decision-maker</t>
  </si>
  <si>
    <t>1–2</t>
  </si>
  <si>
    <t>Not a good current fit</t>
  </si>
  <si>
    <t>Franchise/chain requiring corporate approval; no local decision-making authority; unresponsive after multiple attempts</t>
  </si>
  <si>
    <t>Contact Prioritization Method</t>
  </si>
  <si>
    <t>1. Sort the Prospect Tracker by Prospect Score (descending), then by City to batch outreach efficiently by geography.</t>
  </si>
  <si>
    <t>2. Contact scores of 8–10 first — these convert fastest and build early momentum and referenceable success stories.</t>
  </si>
  <si>
    <t>3. Work scores of 5–7 in the same visit/call block as nearby 8–10 prospects (e.g., same shopping plaza or corridor).</t>
  </si>
  <si>
    <t>4. Revisit scores of 1–4 only after the initial 90-day cycle, or if a warm introduction becomes available.</t>
  </si>
  <si>
    <t>5. Re-score any business after first contact based on actual receptiveness — scores are living estimates, not fixed labels.</t>
  </si>
  <si>
    <t>Sponsorship Pipeline Workflow</t>
  </si>
  <si>
    <t>Researching → Contact Information Needed → Email Sent / Voicemail Left → Spoke With Contact →</t>
  </si>
  <si>
    <t>Meeting Scheduled → Proposal Sent → Considering Sponsorship → Sponsorship Approved / Declined →</t>
  </si>
  <si>
    <t>In-Kind Donation Received (if applicable) → Community Partner Established (renewal relationship)</t>
  </si>
  <si>
    <t>https://tallorestaurant.com/</t>
  </si>
  <si>
    <t>info@tallorestaurant.com</t>
  </si>
  <si>
    <t>https://www.facebook.com/profile.php?id=61561779217810#</t>
  </si>
  <si>
    <t>https://1916irishpub.com/</t>
  </si>
  <si>
    <t>Chuck.1916pub@gmail.com</t>
  </si>
  <si>
    <t>https://www.facebook.com/TinaJoeCafe/</t>
  </si>
  <si>
    <t>tinajoescafe@gmail.com</t>
  </si>
  <si>
    <t>www.myfarmhousemarket.com</t>
  </si>
  <si>
    <t>Ronnie or Jenny Williams</t>
  </si>
  <si>
    <t>Ramon Ruiz or Kelvin Cruz</t>
  </si>
  <si>
    <t>Chuck Jamieson</t>
  </si>
  <si>
    <t>Tina or Joe Novak</t>
  </si>
  <si>
    <t>Aaron Ringer</t>
  </si>
  <si>
    <t>Joseph Piazza</t>
  </si>
  <si>
    <t>admin@piazzahg.com</t>
  </si>
  <si>
    <t>Endrias Bekele</t>
  </si>
  <si>
    <t>Shaila or Jonathan Thomas</t>
  </si>
  <si>
    <t>Joseph LoCicero</t>
  </si>
  <si>
    <t>Wanderson Dearaujo</t>
  </si>
  <si>
    <t>Jessica Francisco</t>
  </si>
  <si>
    <t>Kyrsten Sabb</t>
  </si>
  <si>
    <t>Adam or Michael Jonas</t>
  </si>
  <si>
    <t>Joseph or Christina Kipping</t>
  </si>
  <si>
    <t>Samuel Wax</t>
  </si>
  <si>
    <t>Christina Moloney</t>
  </si>
  <si>
    <t>Ali Mousa</t>
  </si>
  <si>
    <t>Bridgette Vital</t>
  </si>
  <si>
    <t>George or Shelly Stacy</t>
  </si>
  <si>
    <t>Yvette Fuertes</t>
  </si>
  <si>
    <t>Jeff Miller</t>
  </si>
  <si>
    <t>Mark Capes or Kevin Fecteau</t>
  </si>
  <si>
    <t>Mark Bodley</t>
  </si>
  <si>
    <t>Gerald Bliss</t>
  </si>
  <si>
    <t>Paige Dennis</t>
  </si>
  <si>
    <t>Sara</t>
  </si>
  <si>
    <t>Zach or Christina Feinstein</t>
  </si>
  <si>
    <t>Armando Torres or Ramon Ruiz</t>
  </si>
  <si>
    <t>TJ Thielbar, Jeff Strouse, Tim Curci</t>
  </si>
  <si>
    <t>Blair or Ethan Hensley</t>
  </si>
  <si>
    <t>N/A</t>
  </si>
  <si>
    <t>Mike Del Grande</t>
  </si>
  <si>
    <t>Douglas Smith</t>
  </si>
  <si>
    <t>Steven Oliver</t>
  </si>
  <si>
    <t>Sherri Sins, Rhonda Buckley</t>
  </si>
  <si>
    <t>Daryll Hendrix</t>
  </si>
  <si>
    <t>Kendry Lorenzo</t>
  </si>
  <si>
    <t>Jean Pierre (JP) Maalouf</t>
  </si>
  <si>
    <t>Christopher Bahr</t>
  </si>
  <si>
    <t>Brad Bush Jr.</t>
  </si>
  <si>
    <t>James (Jim) Mattice</t>
  </si>
  <si>
    <t>Mike Massey</t>
  </si>
  <si>
    <t>Cory Fuller</t>
  </si>
  <si>
    <t>David Kazar</t>
  </si>
  <si>
    <t>John Narcisi, Nick Carusone</t>
  </si>
  <si>
    <t>Jason Morphet</t>
  </si>
  <si>
    <t>Stephen Adams</t>
  </si>
  <si>
    <t>Andrew Stapleton</t>
  </si>
  <si>
    <t>Steven Goodman</t>
  </si>
  <si>
    <t>Chris Oberhaus</t>
  </si>
  <si>
    <t>Dr Katarina Fielding</t>
  </si>
  <si>
    <t>Dr. Heidi Goss</t>
  </si>
  <si>
    <t>Dr. Jose Davila</t>
  </si>
  <si>
    <t>Dr Lenis E Whalen</t>
  </si>
  <si>
    <t>Aihab or Jennifer Gerges</t>
  </si>
  <si>
    <t>Dr Ashley Fernandez</t>
  </si>
  <si>
    <t>Dr Mark Frank</t>
  </si>
  <si>
    <t>Don Vincent</t>
  </si>
  <si>
    <t>Michael Vincent</t>
  </si>
  <si>
    <t>David Ware</t>
  </si>
  <si>
    <t>James Swan, Steven Swan, or Darrell Wilson</t>
  </si>
  <si>
    <t>Christie Mitchell</t>
  </si>
  <si>
    <t>Sam</t>
  </si>
  <si>
    <t>Maria, Eduardo, Erick Olascoaga, or Ana Quinteros</t>
  </si>
  <si>
    <t>Shannon Lewis</t>
  </si>
  <si>
    <t>Eppie, Emmalise Feliciano</t>
  </si>
  <si>
    <t>813-516-6889</t>
  </si>
  <si>
    <t>social@tlr.restaurant</t>
  </si>
  <si>
    <t>lacreacionbakery@gmail.com</t>
  </si>
  <si>
    <t>info@noble-crust.com</t>
  </si>
  <si>
    <t>farmhousemarketcafe@gmail.com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</si>
</sst>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mm/dd/yyyy"/>
  </numFmts>
  <fonts count="11" x14ac:knownFonts="1">
    <font>
      <sz val="11"/>
      <color theme="1"/>
      <name val="Calibri"/>
      <family val="2"/>
      <charset val="1"/>
    </font>
    <font>
      <b/>
      <sz val="16"/>
      <color rgb="FF1F4E3D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F4E3D"/>
      <name val="Arial"/>
      <charset val="1"/>
    </font>
    <font>
      <b/>
      <sz val="10"/>
      <color rgb="FFFFFFFF"/>
      <name val="Arial"/>
      <charset val="1"/>
    </font>
    <font>
      <u/>
      <sz val="11"/>
      <color theme="10"/>
      <name val="Calibri"/>
      <family val="2"/>
      <charset val="1"/>
    </font>
    <font>
      <u/>
      <sz val="11"/>
      <color rgb="FF0064D1"/>
      <name val="Segoe UI Historic"/>
      <family val="2"/>
    </font>
    <font>
      <sz val="11"/>
      <color theme="1"/>
      <name val="Segoe U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6" fillId="2" borderId="0" xfId="0" applyFont="1" applyFill="1" applyAlignment="1">
      <alignment horizontal="center"/>
    </xf>
    <xf numFmtId="165" fontId="4" fillId="0" borderId="1" xfId="0" applyNumberFormat="1" applyFont="1" applyBorder="1"/>
    <xf numFmtId="0" fontId="6" fillId="2" borderId="0" xfId="0" applyFont="1" applyFill="1"/>
    <xf numFmtId="0" fontId="6" fillId="2" borderId="0" xfId="0" applyFont="1" applyFill="1" applyAlignment="1">
      <alignment horizontal="center" vertical="center" wrapText="1"/>
    </xf>
    <xf numFmtId="0" fontId="4" fillId="3" borderId="1" xfId="0" applyFont="1" applyFill="1" applyBorder="1"/>
    <xf numFmtId="166" fontId="4" fillId="0" borderId="1" xfId="0" applyNumberFormat="1" applyFont="1" applyBorder="1"/>
    <xf numFmtId="164" fontId="4" fillId="0" borderId="1" xfId="0" applyNumberFormat="1" applyFont="1" applyBorder="1"/>
    <xf numFmtId="0" fontId="6" fillId="2" borderId="0" xfId="0" applyFont="1" applyFill="1" applyAlignment="1">
      <alignment vertical="top" wrapText="1"/>
    </xf>
    <xf numFmtId="0" fontId="7" fillId="0" borderId="1" xfId="1" applyBorder="1"/>
    <xf numFmtId="0" fontId="7" fillId="0" borderId="0" xfId="1"/>
    <xf numFmtId="0" fontId="4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1" xfId="0" applyFont="1" applyBorder="1"/>
    <xf numFmtId="0" fontId="10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farmhousemarketcafe@gmail.com" TargetMode="External"/><Relationship Id="rId3" Type="http://schemas.openxmlformats.org/officeDocument/2006/relationships/hyperlink" Target="mailto:Chuck.1916pub@gmail.com" TargetMode="External"/><Relationship Id="rId7" Type="http://schemas.openxmlformats.org/officeDocument/2006/relationships/hyperlink" Target="mailto:info@noble-crust.com" TargetMode="External"/><Relationship Id="rId2" Type="http://schemas.openxmlformats.org/officeDocument/2006/relationships/hyperlink" Target="mailto:info@tallorestaurant.com" TargetMode="External"/><Relationship Id="rId1" Type="http://schemas.openxmlformats.org/officeDocument/2006/relationships/hyperlink" Target="https://tallorestaurant.com/" TargetMode="External"/><Relationship Id="rId6" Type="http://schemas.openxmlformats.org/officeDocument/2006/relationships/hyperlink" Target="mailto:lacreacionbakery@gmail.com" TargetMode="External"/><Relationship Id="rId5" Type="http://schemas.openxmlformats.org/officeDocument/2006/relationships/hyperlink" Target="mailto:social@tlr.restaurant" TargetMode="External"/><Relationship Id="rId4" Type="http://schemas.openxmlformats.org/officeDocument/2006/relationships/hyperlink" Target="mailto:admin@piazzahg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0"/>
  <sheetViews>
    <sheetView showGridLines="0" zoomScaleNormal="100" workbookViewId="0"/>
  </sheetViews>
  <sheetFormatPr defaultColWidth="8.7109375" defaultRowHeight="15" x14ac:dyDescent="0.25"/>
  <cols>
    <col min="2" max="2" width="24.7109375" customWidth="1"/>
    <col min="3" max="3" width="11.7109375" bestFit="1" customWidth="1"/>
    <col min="4" max="4" width="22.85546875" bestFit="1" customWidth="1"/>
    <col min="5" max="5" width="14.5703125" bestFit="1" customWidth="1"/>
    <col min="6" max="6" width="16" customWidth="1"/>
    <col min="7" max="7" width="2" customWidth="1"/>
  </cols>
  <sheetData>
    <row r="2" spans="2:6" ht="20.25" x14ac:dyDescent="0.3">
      <c r="B2" s="3" t="s">
        <v>0</v>
      </c>
    </row>
    <row r="3" spans="2:6" x14ac:dyDescent="0.25">
      <c r="B3" s="4" t="s">
        <v>1</v>
      </c>
    </row>
    <row r="4" spans="2:6" x14ac:dyDescent="0.25">
      <c r="B4" s="4" t="s">
        <v>2</v>
      </c>
    </row>
    <row r="6" spans="2:6" x14ac:dyDescent="0.25">
      <c r="B6" s="5" t="s">
        <v>3</v>
      </c>
    </row>
    <row r="7" spans="2:6" ht="15.75" x14ac:dyDescent="0.25">
      <c r="B7" s="6" t="s">
        <v>4</v>
      </c>
      <c r="F7" s="7">
        <f>COUNTA('Prospect Tracker'!B7:B1000)</f>
        <v>71</v>
      </c>
    </row>
    <row r="8" spans="2:6" ht="15.75" x14ac:dyDescent="0.25">
      <c r="B8" s="6" t="s">
        <v>5</v>
      </c>
      <c r="F8" s="7">
        <f>COUNTIFS('Prospect Tracker'!N7:N1000,"&lt;&gt;Not Contacted",'Prospect Tracker'!N7:N1000,"&lt;&gt;Researching",'Prospect Tracker'!N7:N1000,"&lt;&gt;Contact Information Needed",'Prospect Tracker'!N7:N1000,"&lt;&gt;")</f>
        <v>0</v>
      </c>
    </row>
    <row r="9" spans="2:6" ht="15.75" x14ac:dyDescent="0.25">
      <c r="B9" s="6" t="s">
        <v>6</v>
      </c>
      <c r="F9" s="7">
        <f ca="1">COUNTIFS('Prospect Tracker'!Q7:Q1000,"&gt;="&amp;TODAY(),'Prospect Tracker'!Q7:Q1000,"&lt;="&amp;TODAY()+7)</f>
        <v>0</v>
      </c>
    </row>
    <row r="10" spans="2:6" ht="15.75" x14ac:dyDescent="0.25">
      <c r="B10" s="6" t="s">
        <v>7</v>
      </c>
      <c r="F10" s="7">
        <f>COUNTIF('Prospect Tracker'!S7:S1000,"Yes")</f>
        <v>0</v>
      </c>
    </row>
    <row r="11" spans="2:6" ht="15.75" x14ac:dyDescent="0.25">
      <c r="B11" s="6" t="s">
        <v>8</v>
      </c>
      <c r="F11" s="7">
        <f>COUNTIF('Prospect Tracker'!N7:N1000,"Sponsorship Approved")</f>
        <v>0</v>
      </c>
    </row>
    <row r="12" spans="2:6" ht="15.75" x14ac:dyDescent="0.25">
      <c r="B12" s="6" t="s">
        <v>9</v>
      </c>
      <c r="F12" s="8">
        <f>SUM('Prospect Tracker'!R7:R1000)</f>
        <v>0</v>
      </c>
    </row>
    <row r="13" spans="2:6" ht="15.75" x14ac:dyDescent="0.25">
      <c r="B13" s="6" t="s">
        <v>10</v>
      </c>
      <c r="F13" s="7">
        <f>COUNTIF('Prospect Tracker'!N7:N1000,"In-Kind Donation Received")</f>
        <v>0</v>
      </c>
    </row>
    <row r="14" spans="2:6" ht="15.75" x14ac:dyDescent="0.25">
      <c r="B14" s="6" t="s">
        <v>11</v>
      </c>
      <c r="F14" s="7">
        <f>COUNTIF('Prospect Tracker'!N7:N1000,"Community Partner Established")</f>
        <v>0</v>
      </c>
    </row>
    <row r="15" spans="2:6" ht="15.75" x14ac:dyDescent="0.25">
      <c r="B15" s="6" t="s">
        <v>12</v>
      </c>
      <c r="F15" s="9">
        <f>IFERROR(F11/F8,0)</f>
        <v>0</v>
      </c>
    </row>
    <row r="19" spans="2:5" x14ac:dyDescent="0.25">
      <c r="B19" s="5" t="s">
        <v>13</v>
      </c>
    </row>
    <row r="20" spans="2:5" x14ac:dyDescent="0.25">
      <c r="B20" s="10" t="s">
        <v>14</v>
      </c>
      <c r="C20" s="10" t="s">
        <v>15</v>
      </c>
      <c r="D20" s="10" t="s">
        <v>16</v>
      </c>
      <c r="E20" s="10" t="s">
        <v>17</v>
      </c>
    </row>
    <row r="21" spans="2:5" x14ac:dyDescent="0.25">
      <c r="B21" s="6" t="s">
        <v>18</v>
      </c>
      <c r="C21" s="6">
        <f>COUNTIFS('Prospect Tracker'!C7:C1000,B21,'Prospect Tracker'!N7:N1000,"&lt;&gt;Not Contacted",'Prospect Tracker'!N7:N1000,"&lt;&gt;Researching",'Prospect Tracker'!N7:N1000,"&lt;&gt;Contact Information Needed",'Prospect Tracker'!N7:N1000,"&lt;&gt;")</f>
        <v>0</v>
      </c>
      <c r="D21" s="6">
        <f>COUNTIFS('Prospect Tracker'!C7:C1000,B21,'Prospect Tracker'!N7:N1000,"Spoke With Contact")+COUNTIFS('Prospect Tracker'!C7:C1000,B21,'Prospect Tracker'!N7:N1000,"Meeting Scheduled")+COUNTIFS('Prospect Tracker'!C7:C1000,B21,'Prospect Tracker'!N7:N1000,"Proposal Sent")+COUNTIFS('Prospect Tracker'!C7:C1000,B21,'Prospect Tracker'!N7:N1000,"Considering Sponsorship")+COUNTIFS('Prospect Tracker'!C7:C1000,B21,'Prospect Tracker'!N7:N1000,"Sponsorship Approved")+COUNTIFS('Prospect Tracker'!C7:C1000,B21,'Prospect Tracker'!N7:N1000,"In-Kind Donation Received")+COUNTIFS('Prospect Tracker'!C7:C1000,B21,'Prospect Tracker'!N7:N1000,"Community Partner Established")</f>
        <v>0</v>
      </c>
      <c r="E21" s="11">
        <f t="shared" ref="E21:E37" si="0">IFERROR(D21/C21,0)</f>
        <v>0</v>
      </c>
    </row>
    <row r="22" spans="2:5" x14ac:dyDescent="0.25">
      <c r="B22" s="6" t="s">
        <v>19</v>
      </c>
      <c r="C22" s="6">
        <f>COUNTIFS('Prospect Tracker'!C7:C1000,B22,'Prospect Tracker'!N7:N1000,"&lt;&gt;Not Contacted",'Prospect Tracker'!N7:N1000,"&lt;&gt;Researching",'Prospect Tracker'!N7:N1000,"&lt;&gt;Contact Information Needed",'Prospect Tracker'!N7:N1000,"&lt;&gt;")</f>
        <v>0</v>
      </c>
      <c r="D22" s="6">
        <f>COUNTIFS('Prospect Tracker'!C7:C1000,B22,'Prospect Tracker'!N7:N1000,"Spoke With Contact")+COUNTIFS('Prospect Tracker'!C7:C1000,B22,'Prospect Tracker'!N7:N1000,"Meeting Scheduled")+COUNTIFS('Prospect Tracker'!C7:C1000,B22,'Prospect Tracker'!N7:N1000,"Proposal Sent")+COUNTIFS('Prospect Tracker'!C7:C1000,B22,'Prospect Tracker'!N7:N1000,"Considering Sponsorship")+COUNTIFS('Prospect Tracker'!C7:C1000,B22,'Prospect Tracker'!N7:N1000,"Sponsorship Approved")+COUNTIFS('Prospect Tracker'!C7:C1000,B22,'Prospect Tracker'!N7:N1000,"In-Kind Donation Received")+COUNTIFS('Prospect Tracker'!C7:C1000,B22,'Prospect Tracker'!N7:N1000,"Community Partner Established")</f>
        <v>0</v>
      </c>
      <c r="E22" s="11">
        <f t="shared" si="0"/>
        <v>0</v>
      </c>
    </row>
    <row r="23" spans="2:5" x14ac:dyDescent="0.25">
      <c r="B23" s="6" t="s">
        <v>20</v>
      </c>
      <c r="C23" s="6">
        <f>COUNTIFS('Prospect Tracker'!C7:C1000,B23,'Prospect Tracker'!N7:N1000,"&lt;&gt;Not Contacted",'Prospect Tracker'!N7:N1000,"&lt;&gt;Researching",'Prospect Tracker'!N7:N1000,"&lt;&gt;Contact Information Needed",'Prospect Tracker'!N7:N1000,"&lt;&gt;")</f>
        <v>0</v>
      </c>
      <c r="D23" s="6">
        <f>COUNTIFS('Prospect Tracker'!C7:C1000,B23,'Prospect Tracker'!N7:N1000,"Spoke With Contact")+COUNTIFS('Prospect Tracker'!C7:C1000,B23,'Prospect Tracker'!N7:N1000,"Meeting Scheduled")+COUNTIFS('Prospect Tracker'!C7:C1000,B23,'Prospect Tracker'!N7:N1000,"Proposal Sent")+COUNTIFS('Prospect Tracker'!C7:C1000,B23,'Prospect Tracker'!N7:N1000,"Considering Sponsorship")+COUNTIFS('Prospect Tracker'!C7:C1000,B23,'Prospect Tracker'!N7:N1000,"Sponsorship Approved")+COUNTIFS('Prospect Tracker'!C7:C1000,B23,'Prospect Tracker'!N7:N1000,"In-Kind Donation Received")+COUNTIFS('Prospect Tracker'!C7:C1000,B23,'Prospect Tracker'!N7:N1000,"Community Partner Established")</f>
        <v>0</v>
      </c>
      <c r="E23" s="11">
        <f t="shared" si="0"/>
        <v>0</v>
      </c>
    </row>
    <row r="24" spans="2:5" x14ac:dyDescent="0.25">
      <c r="B24" s="6" t="s">
        <v>21</v>
      </c>
      <c r="C24" s="6">
        <f>COUNTIFS('Prospect Tracker'!C7:C1000,B24,'Prospect Tracker'!N7:N1000,"&lt;&gt;Not Contacted",'Prospect Tracker'!N7:N1000,"&lt;&gt;Researching",'Prospect Tracker'!N7:N1000,"&lt;&gt;Contact Information Needed",'Prospect Tracker'!N7:N1000,"&lt;&gt;")</f>
        <v>0</v>
      </c>
      <c r="D24" s="6">
        <f>COUNTIFS('Prospect Tracker'!C7:C1000,B24,'Prospect Tracker'!N7:N1000,"Spoke With Contact")+COUNTIFS('Prospect Tracker'!C7:C1000,B24,'Prospect Tracker'!N7:N1000,"Meeting Scheduled")+COUNTIFS('Prospect Tracker'!C7:C1000,B24,'Prospect Tracker'!N7:N1000,"Proposal Sent")+COUNTIFS('Prospect Tracker'!C7:C1000,B24,'Prospect Tracker'!N7:N1000,"Considering Sponsorship")+COUNTIFS('Prospect Tracker'!C7:C1000,B24,'Prospect Tracker'!N7:N1000,"Sponsorship Approved")+COUNTIFS('Prospect Tracker'!C7:C1000,B24,'Prospect Tracker'!N7:N1000,"In-Kind Donation Received")+COUNTIFS('Prospect Tracker'!C7:C1000,B24,'Prospect Tracker'!N7:N1000,"Community Partner Established")</f>
        <v>0</v>
      </c>
      <c r="E24" s="11">
        <f t="shared" si="0"/>
        <v>0</v>
      </c>
    </row>
    <row r="25" spans="2:5" x14ac:dyDescent="0.25">
      <c r="B25" s="6" t="s">
        <v>22</v>
      </c>
      <c r="C25" s="6">
        <f>COUNTIFS('Prospect Tracker'!C7:C1000,B25,'Prospect Tracker'!N7:N1000,"&lt;&gt;Not Contacted",'Prospect Tracker'!N7:N1000,"&lt;&gt;Researching",'Prospect Tracker'!N7:N1000,"&lt;&gt;Contact Information Needed",'Prospect Tracker'!N7:N1000,"&lt;&gt;")</f>
        <v>0</v>
      </c>
      <c r="D25" s="6">
        <f>COUNTIFS('Prospect Tracker'!C7:C1000,B25,'Prospect Tracker'!N7:N1000,"Spoke With Contact")+COUNTIFS('Prospect Tracker'!C7:C1000,B25,'Prospect Tracker'!N7:N1000,"Meeting Scheduled")+COUNTIFS('Prospect Tracker'!C7:C1000,B25,'Prospect Tracker'!N7:N1000,"Proposal Sent")+COUNTIFS('Prospect Tracker'!C7:C1000,B25,'Prospect Tracker'!N7:N1000,"Considering Sponsorship")+COUNTIFS('Prospect Tracker'!C7:C1000,B25,'Prospect Tracker'!N7:N1000,"Sponsorship Approved")+COUNTIFS('Prospect Tracker'!C7:C1000,B25,'Prospect Tracker'!N7:N1000,"In-Kind Donation Received")+COUNTIFS('Prospect Tracker'!C7:C1000,B25,'Prospect Tracker'!N7:N1000,"Community Partner Established")</f>
        <v>0</v>
      </c>
      <c r="E25" s="11">
        <f t="shared" si="0"/>
        <v>0</v>
      </c>
    </row>
    <row r="26" spans="2:5" x14ac:dyDescent="0.25">
      <c r="B26" s="6" t="s">
        <v>23</v>
      </c>
      <c r="C26" s="6">
        <f>COUNTIFS('Prospect Tracker'!C7:C1000,B26,'Prospect Tracker'!N7:N1000,"&lt;&gt;Not Contacted",'Prospect Tracker'!N7:N1000,"&lt;&gt;Researching",'Prospect Tracker'!N7:N1000,"&lt;&gt;Contact Information Needed",'Prospect Tracker'!N7:N1000,"&lt;&gt;")</f>
        <v>0</v>
      </c>
      <c r="D26" s="6">
        <f>COUNTIFS('Prospect Tracker'!C7:C1000,B26,'Prospect Tracker'!N7:N1000,"Spoke With Contact")+COUNTIFS('Prospect Tracker'!C7:C1000,B26,'Prospect Tracker'!N7:N1000,"Meeting Scheduled")+COUNTIFS('Prospect Tracker'!C7:C1000,B26,'Prospect Tracker'!N7:N1000,"Proposal Sent")+COUNTIFS('Prospect Tracker'!C7:C1000,B26,'Prospect Tracker'!N7:N1000,"Considering Sponsorship")+COUNTIFS('Prospect Tracker'!C7:C1000,B26,'Prospect Tracker'!N7:N1000,"Sponsorship Approved")+COUNTIFS('Prospect Tracker'!C7:C1000,B26,'Prospect Tracker'!N7:N1000,"In-Kind Donation Received")+COUNTIFS('Prospect Tracker'!C7:C1000,B26,'Prospect Tracker'!N7:N1000,"Community Partner Established")</f>
        <v>0</v>
      </c>
      <c r="E26" s="11">
        <f t="shared" si="0"/>
        <v>0</v>
      </c>
    </row>
    <row r="27" spans="2:5" x14ac:dyDescent="0.25">
      <c r="B27" s="6" t="s">
        <v>24</v>
      </c>
      <c r="C27" s="6">
        <f>COUNTIFS('Prospect Tracker'!C7:C1000,B27,'Prospect Tracker'!N7:N1000,"&lt;&gt;Not Contacted",'Prospect Tracker'!N7:N1000,"&lt;&gt;Researching",'Prospect Tracker'!N7:N1000,"&lt;&gt;Contact Information Needed",'Prospect Tracker'!N7:N1000,"&lt;&gt;")</f>
        <v>0</v>
      </c>
      <c r="D27" s="6">
        <f>COUNTIFS('Prospect Tracker'!C7:C1000,B27,'Prospect Tracker'!N7:N1000,"Spoke With Contact")+COUNTIFS('Prospect Tracker'!C7:C1000,B27,'Prospect Tracker'!N7:N1000,"Meeting Scheduled")+COUNTIFS('Prospect Tracker'!C7:C1000,B27,'Prospect Tracker'!N7:N1000,"Proposal Sent")+COUNTIFS('Prospect Tracker'!C7:C1000,B27,'Prospect Tracker'!N7:N1000,"Considering Sponsorship")+COUNTIFS('Prospect Tracker'!C7:C1000,B27,'Prospect Tracker'!N7:N1000,"Sponsorship Approved")+COUNTIFS('Prospect Tracker'!C7:C1000,B27,'Prospect Tracker'!N7:N1000,"In-Kind Donation Received")+COUNTIFS('Prospect Tracker'!C7:C1000,B27,'Prospect Tracker'!N7:N1000,"Community Partner Established")</f>
        <v>0</v>
      </c>
      <c r="E27" s="11">
        <f t="shared" si="0"/>
        <v>0</v>
      </c>
    </row>
    <row r="28" spans="2:5" x14ac:dyDescent="0.25">
      <c r="B28" s="6" t="s">
        <v>25</v>
      </c>
      <c r="C28" s="6">
        <f>COUNTIFS('Prospect Tracker'!C7:C1000,B28,'Prospect Tracker'!N7:N1000,"&lt;&gt;Not Contacted",'Prospect Tracker'!N7:N1000,"&lt;&gt;Researching",'Prospect Tracker'!N7:N1000,"&lt;&gt;Contact Information Needed",'Prospect Tracker'!N7:N1000,"&lt;&gt;")</f>
        <v>0</v>
      </c>
      <c r="D28" s="6">
        <f>COUNTIFS('Prospect Tracker'!C7:C1000,B28,'Prospect Tracker'!N7:N1000,"Spoke With Contact")+COUNTIFS('Prospect Tracker'!C7:C1000,B28,'Prospect Tracker'!N7:N1000,"Meeting Scheduled")+COUNTIFS('Prospect Tracker'!C7:C1000,B28,'Prospect Tracker'!N7:N1000,"Proposal Sent")+COUNTIFS('Prospect Tracker'!C7:C1000,B28,'Prospect Tracker'!N7:N1000,"Considering Sponsorship")+COUNTIFS('Prospect Tracker'!C7:C1000,B28,'Prospect Tracker'!N7:N1000,"Sponsorship Approved")+COUNTIFS('Prospect Tracker'!C7:C1000,B28,'Prospect Tracker'!N7:N1000,"In-Kind Donation Received")+COUNTIFS('Prospect Tracker'!C7:C1000,B28,'Prospect Tracker'!N7:N1000,"Community Partner Established")</f>
        <v>0</v>
      </c>
      <c r="E28" s="11">
        <f t="shared" si="0"/>
        <v>0</v>
      </c>
    </row>
    <row r="29" spans="2:5" x14ac:dyDescent="0.25">
      <c r="B29" s="6" t="s">
        <v>26</v>
      </c>
      <c r="C29" s="6">
        <f>COUNTIFS('Prospect Tracker'!C7:C1000,B29,'Prospect Tracker'!N7:N1000,"&lt;&gt;Not Contacted",'Prospect Tracker'!N7:N1000,"&lt;&gt;Researching",'Prospect Tracker'!N7:N1000,"&lt;&gt;Contact Information Needed",'Prospect Tracker'!N7:N1000,"&lt;&gt;")</f>
        <v>0</v>
      </c>
      <c r="D29" s="6">
        <f>COUNTIFS('Prospect Tracker'!C7:C1000,B29,'Prospect Tracker'!N7:N1000,"Spoke With Contact")+COUNTIFS('Prospect Tracker'!C7:C1000,B29,'Prospect Tracker'!N7:N1000,"Meeting Scheduled")+COUNTIFS('Prospect Tracker'!C7:C1000,B29,'Prospect Tracker'!N7:N1000,"Proposal Sent")+COUNTIFS('Prospect Tracker'!C7:C1000,B29,'Prospect Tracker'!N7:N1000,"Considering Sponsorship")+COUNTIFS('Prospect Tracker'!C7:C1000,B29,'Prospect Tracker'!N7:N1000,"Sponsorship Approved")+COUNTIFS('Prospect Tracker'!C7:C1000,B29,'Prospect Tracker'!N7:N1000,"In-Kind Donation Received")+COUNTIFS('Prospect Tracker'!C7:C1000,B29,'Prospect Tracker'!N7:N1000,"Community Partner Established")</f>
        <v>0</v>
      </c>
      <c r="E29" s="11">
        <f t="shared" si="0"/>
        <v>0</v>
      </c>
    </row>
    <row r="30" spans="2:5" x14ac:dyDescent="0.25">
      <c r="B30" s="6" t="s">
        <v>27</v>
      </c>
      <c r="C30" s="6">
        <f>COUNTIFS('Prospect Tracker'!C7:C1000,B30,'Prospect Tracker'!N7:N1000,"&lt;&gt;Not Contacted",'Prospect Tracker'!N7:N1000,"&lt;&gt;Researching",'Prospect Tracker'!N7:N1000,"&lt;&gt;Contact Information Needed",'Prospect Tracker'!N7:N1000,"&lt;&gt;")</f>
        <v>0</v>
      </c>
      <c r="D30" s="6">
        <f>COUNTIFS('Prospect Tracker'!C7:C1000,B30,'Prospect Tracker'!N7:N1000,"Spoke With Contact")+COUNTIFS('Prospect Tracker'!C7:C1000,B30,'Prospect Tracker'!N7:N1000,"Meeting Scheduled")+COUNTIFS('Prospect Tracker'!C7:C1000,B30,'Prospect Tracker'!N7:N1000,"Proposal Sent")+COUNTIFS('Prospect Tracker'!C7:C1000,B30,'Prospect Tracker'!N7:N1000,"Considering Sponsorship")+COUNTIFS('Prospect Tracker'!C7:C1000,B30,'Prospect Tracker'!N7:N1000,"Sponsorship Approved")+COUNTIFS('Prospect Tracker'!C7:C1000,B30,'Prospect Tracker'!N7:N1000,"In-Kind Donation Received")+COUNTIFS('Prospect Tracker'!C7:C1000,B30,'Prospect Tracker'!N7:N1000,"Community Partner Established")</f>
        <v>0</v>
      </c>
      <c r="E30" s="11">
        <f t="shared" si="0"/>
        <v>0</v>
      </c>
    </row>
    <row r="31" spans="2:5" x14ac:dyDescent="0.25">
      <c r="B31" s="6" t="s">
        <v>28</v>
      </c>
      <c r="C31" s="6">
        <f>COUNTIFS('Prospect Tracker'!C7:C1000,B31,'Prospect Tracker'!N7:N1000,"&lt;&gt;Not Contacted",'Prospect Tracker'!N7:N1000,"&lt;&gt;Researching",'Prospect Tracker'!N7:N1000,"&lt;&gt;Contact Information Needed",'Prospect Tracker'!N7:N1000,"&lt;&gt;")</f>
        <v>0</v>
      </c>
      <c r="D31" s="6">
        <f>COUNTIFS('Prospect Tracker'!C7:C1000,B31,'Prospect Tracker'!N7:N1000,"Spoke With Contact")+COUNTIFS('Prospect Tracker'!C7:C1000,B31,'Prospect Tracker'!N7:N1000,"Meeting Scheduled")+COUNTIFS('Prospect Tracker'!C7:C1000,B31,'Prospect Tracker'!N7:N1000,"Proposal Sent")+COUNTIFS('Prospect Tracker'!C7:C1000,B31,'Prospect Tracker'!N7:N1000,"Considering Sponsorship")+COUNTIFS('Prospect Tracker'!C7:C1000,B31,'Prospect Tracker'!N7:N1000,"Sponsorship Approved")+COUNTIFS('Prospect Tracker'!C7:C1000,B31,'Prospect Tracker'!N7:N1000,"In-Kind Donation Received")+COUNTIFS('Prospect Tracker'!C7:C1000,B31,'Prospect Tracker'!N7:N1000,"Community Partner Established")</f>
        <v>0</v>
      </c>
      <c r="E31" s="11">
        <f t="shared" si="0"/>
        <v>0</v>
      </c>
    </row>
    <row r="32" spans="2:5" x14ac:dyDescent="0.25">
      <c r="B32" s="6" t="s">
        <v>29</v>
      </c>
      <c r="C32" s="6">
        <f>COUNTIFS('Prospect Tracker'!C7:C1000,B32,'Prospect Tracker'!N7:N1000,"&lt;&gt;Not Contacted",'Prospect Tracker'!N7:N1000,"&lt;&gt;Researching",'Prospect Tracker'!N7:N1000,"&lt;&gt;Contact Information Needed",'Prospect Tracker'!N7:N1000,"&lt;&gt;")</f>
        <v>0</v>
      </c>
      <c r="D32" s="6">
        <f>COUNTIFS('Prospect Tracker'!C7:C1000,B32,'Prospect Tracker'!N7:N1000,"Spoke With Contact")+COUNTIFS('Prospect Tracker'!C7:C1000,B32,'Prospect Tracker'!N7:N1000,"Meeting Scheduled")+COUNTIFS('Prospect Tracker'!C7:C1000,B32,'Prospect Tracker'!N7:N1000,"Proposal Sent")+COUNTIFS('Prospect Tracker'!C7:C1000,B32,'Prospect Tracker'!N7:N1000,"Considering Sponsorship")+COUNTIFS('Prospect Tracker'!C7:C1000,B32,'Prospect Tracker'!N7:N1000,"Sponsorship Approved")+COUNTIFS('Prospect Tracker'!C7:C1000,B32,'Prospect Tracker'!N7:N1000,"In-Kind Donation Received")+COUNTIFS('Prospect Tracker'!C7:C1000,B32,'Prospect Tracker'!N7:N1000,"Community Partner Established")</f>
        <v>0</v>
      </c>
      <c r="E32" s="11">
        <f t="shared" si="0"/>
        <v>0</v>
      </c>
    </row>
    <row r="33" spans="2:5" x14ac:dyDescent="0.25">
      <c r="B33" s="6" t="s">
        <v>30</v>
      </c>
      <c r="C33" s="6">
        <f>COUNTIFS('Prospect Tracker'!C7:C1000,B33,'Prospect Tracker'!N7:N1000,"&lt;&gt;Not Contacted",'Prospect Tracker'!N7:N1000,"&lt;&gt;Researching",'Prospect Tracker'!N7:N1000,"&lt;&gt;Contact Information Needed",'Prospect Tracker'!N7:N1000,"&lt;&gt;")</f>
        <v>0</v>
      </c>
      <c r="D33" s="6">
        <f>COUNTIFS('Prospect Tracker'!C7:C1000,B33,'Prospect Tracker'!N7:N1000,"Spoke With Contact")+COUNTIFS('Prospect Tracker'!C7:C1000,B33,'Prospect Tracker'!N7:N1000,"Meeting Scheduled")+COUNTIFS('Prospect Tracker'!C7:C1000,B33,'Prospect Tracker'!N7:N1000,"Proposal Sent")+COUNTIFS('Prospect Tracker'!C7:C1000,B33,'Prospect Tracker'!N7:N1000,"Considering Sponsorship")+COUNTIFS('Prospect Tracker'!C7:C1000,B33,'Prospect Tracker'!N7:N1000,"Sponsorship Approved")+COUNTIFS('Prospect Tracker'!C7:C1000,B33,'Prospect Tracker'!N7:N1000,"In-Kind Donation Received")+COUNTIFS('Prospect Tracker'!C7:C1000,B33,'Prospect Tracker'!N7:N1000,"Community Partner Established")</f>
        <v>0</v>
      </c>
      <c r="E33" s="11">
        <f t="shared" si="0"/>
        <v>0</v>
      </c>
    </row>
    <row r="34" spans="2:5" x14ac:dyDescent="0.25">
      <c r="B34" s="6" t="s">
        <v>31</v>
      </c>
      <c r="C34" s="6">
        <f>COUNTIFS('Prospect Tracker'!C7:C1000,B34,'Prospect Tracker'!N7:N1000,"&lt;&gt;Not Contacted",'Prospect Tracker'!N7:N1000,"&lt;&gt;Researching",'Prospect Tracker'!N7:N1000,"&lt;&gt;Contact Information Needed",'Prospect Tracker'!N7:N1000,"&lt;&gt;")</f>
        <v>0</v>
      </c>
      <c r="D34" s="6">
        <f>COUNTIFS('Prospect Tracker'!C7:C1000,B34,'Prospect Tracker'!N7:N1000,"Spoke With Contact")+COUNTIFS('Prospect Tracker'!C7:C1000,B34,'Prospect Tracker'!N7:N1000,"Meeting Scheduled")+COUNTIFS('Prospect Tracker'!C7:C1000,B34,'Prospect Tracker'!N7:N1000,"Proposal Sent")+COUNTIFS('Prospect Tracker'!C7:C1000,B34,'Prospect Tracker'!N7:N1000,"Considering Sponsorship")+COUNTIFS('Prospect Tracker'!C7:C1000,B34,'Prospect Tracker'!N7:N1000,"Sponsorship Approved")+COUNTIFS('Prospect Tracker'!C7:C1000,B34,'Prospect Tracker'!N7:N1000,"In-Kind Donation Received")+COUNTIFS('Prospect Tracker'!C7:C1000,B34,'Prospect Tracker'!N7:N1000,"Community Partner Established")</f>
        <v>0</v>
      </c>
      <c r="E34" s="11">
        <f t="shared" si="0"/>
        <v>0</v>
      </c>
    </row>
    <row r="35" spans="2:5" x14ac:dyDescent="0.25">
      <c r="B35" s="6" t="s">
        <v>32</v>
      </c>
      <c r="C35" s="6">
        <f>COUNTIFS('Prospect Tracker'!C7:C1000,B35,'Prospect Tracker'!N7:N1000,"&lt;&gt;Not Contacted",'Prospect Tracker'!N7:N1000,"&lt;&gt;Researching",'Prospect Tracker'!N7:N1000,"&lt;&gt;Contact Information Needed",'Prospect Tracker'!N7:N1000,"&lt;&gt;")</f>
        <v>0</v>
      </c>
      <c r="D35" s="6">
        <f>COUNTIFS('Prospect Tracker'!C7:C1000,B35,'Prospect Tracker'!N7:N1000,"Spoke With Contact")+COUNTIFS('Prospect Tracker'!C7:C1000,B35,'Prospect Tracker'!N7:N1000,"Meeting Scheduled")+COUNTIFS('Prospect Tracker'!C7:C1000,B35,'Prospect Tracker'!N7:N1000,"Proposal Sent")+COUNTIFS('Prospect Tracker'!C7:C1000,B35,'Prospect Tracker'!N7:N1000,"Considering Sponsorship")+COUNTIFS('Prospect Tracker'!C7:C1000,B35,'Prospect Tracker'!N7:N1000,"Sponsorship Approved")+COUNTIFS('Prospect Tracker'!C7:C1000,B35,'Prospect Tracker'!N7:N1000,"In-Kind Donation Received")+COUNTIFS('Prospect Tracker'!C7:C1000,B35,'Prospect Tracker'!N7:N1000,"Community Partner Established")</f>
        <v>0</v>
      </c>
      <c r="E35" s="11">
        <f t="shared" si="0"/>
        <v>0</v>
      </c>
    </row>
    <row r="36" spans="2:5" x14ac:dyDescent="0.25">
      <c r="B36" s="6" t="s">
        <v>33</v>
      </c>
      <c r="C36" s="6">
        <f>COUNTIFS('Prospect Tracker'!C7:C1000,B36,'Prospect Tracker'!N7:N1000,"&lt;&gt;Not Contacted",'Prospect Tracker'!N7:N1000,"&lt;&gt;Researching",'Prospect Tracker'!N7:N1000,"&lt;&gt;Contact Information Needed",'Prospect Tracker'!N7:N1000,"&lt;&gt;")</f>
        <v>0</v>
      </c>
      <c r="D36" s="6">
        <f>COUNTIFS('Prospect Tracker'!C7:C1000,B36,'Prospect Tracker'!N7:N1000,"Spoke With Contact")+COUNTIFS('Prospect Tracker'!C7:C1000,B36,'Prospect Tracker'!N7:N1000,"Meeting Scheduled")+COUNTIFS('Prospect Tracker'!C7:C1000,B36,'Prospect Tracker'!N7:N1000,"Proposal Sent")+COUNTIFS('Prospect Tracker'!C7:C1000,B36,'Prospect Tracker'!N7:N1000,"Considering Sponsorship")+COUNTIFS('Prospect Tracker'!C7:C1000,B36,'Prospect Tracker'!N7:N1000,"Sponsorship Approved")+COUNTIFS('Prospect Tracker'!C7:C1000,B36,'Prospect Tracker'!N7:N1000,"In-Kind Donation Received")+COUNTIFS('Prospect Tracker'!C7:C1000,B36,'Prospect Tracker'!N7:N1000,"Community Partner Established")</f>
        <v>0</v>
      </c>
      <c r="E36" s="11">
        <f t="shared" si="0"/>
        <v>0</v>
      </c>
    </row>
    <row r="37" spans="2:5" x14ac:dyDescent="0.25">
      <c r="B37" s="6" t="s">
        <v>34</v>
      </c>
      <c r="C37" s="6">
        <f>COUNTIFS('Prospect Tracker'!C7:C1000,B37,'Prospect Tracker'!N7:N1000,"&lt;&gt;Not Contacted",'Prospect Tracker'!N7:N1000,"&lt;&gt;Researching",'Prospect Tracker'!N7:N1000,"&lt;&gt;Contact Information Needed",'Prospect Tracker'!N7:N1000,"&lt;&gt;")</f>
        <v>0</v>
      </c>
      <c r="D37" s="6">
        <f>COUNTIFS('Prospect Tracker'!C7:C1000,B37,'Prospect Tracker'!N7:N1000,"Spoke With Contact")+COUNTIFS('Prospect Tracker'!C7:C1000,B37,'Prospect Tracker'!N7:N1000,"Meeting Scheduled")+COUNTIFS('Prospect Tracker'!C7:C1000,B37,'Prospect Tracker'!N7:N1000,"Proposal Sent")+COUNTIFS('Prospect Tracker'!C7:C1000,B37,'Prospect Tracker'!N7:N1000,"Considering Sponsorship")+COUNTIFS('Prospect Tracker'!C7:C1000,B37,'Prospect Tracker'!N7:N1000,"Sponsorship Approved")+COUNTIFS('Prospect Tracker'!C7:C1000,B37,'Prospect Tracker'!N7:N1000,"In-Kind Donation Received")+COUNTIFS('Prospect Tracker'!C7:C1000,B37,'Prospect Tracker'!N7:N1000,"Community Partner Established")</f>
        <v>0</v>
      </c>
      <c r="E37" s="11">
        <f t="shared" si="0"/>
        <v>0</v>
      </c>
    </row>
    <row r="40" spans="2:5" x14ac:dyDescent="0.25">
      <c r="B40" s="4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2" customWidth="1"/>
    <col min="3" max="3" width="10" customWidth="1"/>
    <col min="4" max="5" width="26" customWidth="1"/>
    <col min="6" max="6" width="16" customWidth="1"/>
  </cols>
  <sheetData>
    <row r="1" spans="1:6" x14ac:dyDescent="0.25">
      <c r="A1" s="12" t="s">
        <v>36</v>
      </c>
      <c r="B1" s="12" t="s">
        <v>37</v>
      </c>
      <c r="C1" s="12" t="s">
        <v>38</v>
      </c>
      <c r="D1" s="12" t="s">
        <v>14</v>
      </c>
      <c r="E1" s="12" t="s">
        <v>39</v>
      </c>
      <c r="F1" s="12" t="s">
        <v>40</v>
      </c>
    </row>
    <row r="2" spans="1:6" x14ac:dyDescent="0.25">
      <c r="A2" s="1" t="s">
        <v>41</v>
      </c>
      <c r="B2" s="1" t="s">
        <v>42</v>
      </c>
      <c r="C2" s="1" t="s">
        <v>43</v>
      </c>
      <c r="D2" s="1" t="s">
        <v>18</v>
      </c>
      <c r="E2" s="1" t="s">
        <v>44</v>
      </c>
      <c r="F2" s="1" t="s">
        <v>45</v>
      </c>
    </row>
    <row r="3" spans="1:6" x14ac:dyDescent="0.25">
      <c r="A3" s="1" t="s">
        <v>46</v>
      </c>
      <c r="B3" s="1" t="s">
        <v>47</v>
      </c>
      <c r="C3" s="1" t="s">
        <v>48</v>
      </c>
      <c r="D3" s="1" t="s">
        <v>19</v>
      </c>
      <c r="E3" s="1" t="s">
        <v>49</v>
      </c>
      <c r="F3" s="1" t="s">
        <v>50</v>
      </c>
    </row>
    <row r="4" spans="1:6" x14ac:dyDescent="0.25">
      <c r="A4" s="1" t="s">
        <v>51</v>
      </c>
      <c r="B4" s="1" t="s">
        <v>52</v>
      </c>
      <c r="C4" s="1"/>
      <c r="D4" s="1" t="s">
        <v>20</v>
      </c>
      <c r="E4" s="1" t="s">
        <v>53</v>
      </c>
      <c r="F4" s="1" t="s">
        <v>54</v>
      </c>
    </row>
    <row r="5" spans="1:6" x14ac:dyDescent="0.25">
      <c r="A5" s="1" t="s">
        <v>55</v>
      </c>
      <c r="B5" s="1" t="s">
        <v>56</v>
      </c>
      <c r="C5" s="1"/>
      <c r="D5" s="1" t="s">
        <v>21</v>
      </c>
      <c r="E5" s="1" t="s">
        <v>57</v>
      </c>
      <c r="F5" s="1" t="s">
        <v>58</v>
      </c>
    </row>
    <row r="6" spans="1:6" x14ac:dyDescent="0.25">
      <c r="A6" s="1" t="s">
        <v>59</v>
      </c>
      <c r="B6" s="1" t="s">
        <v>60</v>
      </c>
      <c r="C6" s="1"/>
      <c r="D6" s="1" t="s">
        <v>22</v>
      </c>
      <c r="E6" s="1" t="s">
        <v>61</v>
      </c>
      <c r="F6" s="1"/>
    </row>
    <row r="7" spans="1:6" x14ac:dyDescent="0.25">
      <c r="A7" s="1" t="s">
        <v>62</v>
      </c>
      <c r="B7" s="1" t="s">
        <v>63</v>
      </c>
      <c r="C7" s="1"/>
      <c r="D7" s="1" t="s">
        <v>23</v>
      </c>
      <c r="E7" s="1"/>
      <c r="F7" s="1"/>
    </row>
    <row r="8" spans="1:6" x14ac:dyDescent="0.25">
      <c r="A8" s="1" t="s">
        <v>64</v>
      </c>
      <c r="B8" s="1"/>
      <c r="C8" s="1"/>
      <c r="D8" s="1" t="s">
        <v>24</v>
      </c>
      <c r="E8" s="1"/>
      <c r="F8" s="1"/>
    </row>
    <row r="9" spans="1:6" x14ac:dyDescent="0.25">
      <c r="A9" s="1" t="s">
        <v>65</v>
      </c>
      <c r="B9" s="1"/>
      <c r="C9" s="1"/>
      <c r="D9" s="1" t="s">
        <v>25</v>
      </c>
      <c r="E9" s="1"/>
      <c r="F9" s="1"/>
    </row>
    <row r="10" spans="1:6" x14ac:dyDescent="0.25">
      <c r="A10" s="1" t="s">
        <v>66</v>
      </c>
      <c r="B10" s="1"/>
      <c r="C10" s="1"/>
      <c r="D10" s="1" t="s">
        <v>26</v>
      </c>
      <c r="E10" s="1"/>
      <c r="F10" s="1"/>
    </row>
    <row r="11" spans="1:6" x14ac:dyDescent="0.25">
      <c r="A11" s="1" t="s">
        <v>67</v>
      </c>
      <c r="B11" s="1"/>
      <c r="C11" s="1"/>
      <c r="D11" s="1" t="s">
        <v>27</v>
      </c>
      <c r="E11" s="1"/>
      <c r="F11" s="1"/>
    </row>
    <row r="12" spans="1:6" x14ac:dyDescent="0.25">
      <c r="A12" s="1" t="s">
        <v>68</v>
      </c>
      <c r="B12" s="1"/>
      <c r="C12" s="1"/>
      <c r="D12" s="1" t="s">
        <v>28</v>
      </c>
      <c r="E12" s="1"/>
      <c r="F12" s="1"/>
    </row>
    <row r="13" spans="1:6" x14ac:dyDescent="0.25">
      <c r="A13" s="1" t="s">
        <v>69</v>
      </c>
      <c r="B13" s="1"/>
      <c r="C13" s="1"/>
      <c r="D13" s="1" t="s">
        <v>29</v>
      </c>
      <c r="E13" s="1"/>
      <c r="F13" s="1"/>
    </row>
    <row r="14" spans="1:6" x14ac:dyDescent="0.25">
      <c r="A14" s="1" t="s">
        <v>70</v>
      </c>
      <c r="B14" s="1"/>
      <c r="C14" s="1"/>
      <c r="D14" s="1" t="s">
        <v>30</v>
      </c>
      <c r="E14" s="1"/>
      <c r="F14" s="1"/>
    </row>
    <row r="15" spans="1:6" x14ac:dyDescent="0.25">
      <c r="A15" s="1" t="s">
        <v>71</v>
      </c>
      <c r="B15" s="1"/>
      <c r="C15" s="1"/>
      <c r="D15" s="1" t="s">
        <v>31</v>
      </c>
      <c r="E15" s="1"/>
      <c r="F15" s="1"/>
    </row>
    <row r="16" spans="1:6" x14ac:dyDescent="0.25">
      <c r="A16" s="1" t="s">
        <v>72</v>
      </c>
      <c r="B16" s="1"/>
      <c r="C16" s="1"/>
      <c r="D16" s="1" t="s">
        <v>32</v>
      </c>
      <c r="E16" s="1"/>
      <c r="F16" s="1"/>
    </row>
    <row r="17" spans="1:6" x14ac:dyDescent="0.25">
      <c r="A17" s="1" t="s">
        <v>73</v>
      </c>
      <c r="B17" s="1"/>
      <c r="C17" s="1"/>
      <c r="D17" s="1" t="s">
        <v>33</v>
      </c>
      <c r="E17" s="1"/>
      <c r="F17" s="1"/>
    </row>
    <row r="18" spans="1:6" x14ac:dyDescent="0.25">
      <c r="A18" s="1" t="s">
        <v>74</v>
      </c>
      <c r="B18" s="1"/>
      <c r="C18" s="1"/>
      <c r="D18" s="1" t="s">
        <v>34</v>
      </c>
      <c r="E18" s="1"/>
      <c r="F18" s="1"/>
    </row>
    <row r="19" spans="1:6" x14ac:dyDescent="0.25">
      <c r="A19" s="1"/>
      <c r="B19" s="1"/>
      <c r="C19" s="1"/>
      <c r="D19" s="1" t="s">
        <v>75</v>
      </c>
      <c r="E19" s="1"/>
      <c r="F19" s="1"/>
    </row>
    <row r="20" spans="1:6" x14ac:dyDescent="0.25">
      <c r="A20" s="1"/>
      <c r="B20" s="1"/>
      <c r="C20" s="1"/>
      <c r="D20" s="1"/>
      <c r="E20" s="1"/>
      <c r="F20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117"/>
  <sheetViews>
    <sheetView showGridLines="0" tabSelected="1" zoomScaleNormal="100" workbookViewId="0">
      <pane ySplit="6" topLeftCell="A7" activePane="bottomLeft" state="frozen"/>
      <selection pane="bottomLeft" activeCell="G18" sqref="G18"/>
    </sheetView>
  </sheetViews>
  <sheetFormatPr defaultColWidth="8.7109375" defaultRowHeight="15" x14ac:dyDescent="0.25"/>
  <cols>
    <col min="1" max="1" width="14" customWidth="1"/>
    <col min="2" max="2" width="30" customWidth="1"/>
    <col min="3" max="3" width="7.28515625" customWidth="1"/>
    <col min="4" max="4" width="8.7109375" customWidth="1"/>
    <col min="5" max="5" width="9.42578125" customWidth="1"/>
    <col min="6" max="6" width="15" customWidth="1"/>
    <col min="7" max="7" width="24.28515625" bestFit="1" customWidth="1"/>
    <col min="8" max="8" width="22.7109375" customWidth="1"/>
    <col min="9" max="9" width="51.85546875" bestFit="1" customWidth="1"/>
    <col min="10" max="10" width="12" customWidth="1"/>
    <col min="11" max="11" width="14" customWidth="1"/>
    <col min="12" max="12" width="12" customWidth="1"/>
    <col min="13" max="13" width="16" customWidth="1"/>
    <col min="14" max="15" width="20" customWidth="1"/>
    <col min="16" max="17" width="16" customWidth="1"/>
    <col min="18" max="18" width="13.5703125" customWidth="1"/>
    <col min="19" max="19" width="3.7109375" customWidth="1"/>
    <col min="20" max="20" width="5.42578125" customWidth="1"/>
    <col min="21" max="21" width="12" customWidth="1"/>
    <col min="22" max="22" width="55.7109375" customWidth="1"/>
    <col min="23" max="23" width="50.42578125" customWidth="1"/>
    <col min="24" max="25" width="14" customWidth="1"/>
  </cols>
  <sheetData>
    <row r="2" spans="1:25" ht="20.25" x14ac:dyDescent="0.3">
      <c r="A2" s="3" t="s">
        <v>76</v>
      </c>
    </row>
    <row r="3" spans="1:25" x14ac:dyDescent="0.25">
      <c r="A3" s="4" t="s">
        <v>77</v>
      </c>
    </row>
    <row r="4" spans="1:25" x14ac:dyDescent="0.25">
      <c r="A4" s="4" t="s">
        <v>78</v>
      </c>
    </row>
    <row r="6" spans="1:25" ht="33.75" customHeight="1" x14ac:dyDescent="0.25">
      <c r="A6" s="13" t="s">
        <v>79</v>
      </c>
      <c r="B6" s="13" t="s">
        <v>80</v>
      </c>
      <c r="C6" s="13" t="s">
        <v>14</v>
      </c>
      <c r="D6" s="13" t="s">
        <v>39</v>
      </c>
      <c r="E6" s="13" t="s">
        <v>81</v>
      </c>
      <c r="F6" s="13" t="s">
        <v>82</v>
      </c>
      <c r="G6" s="13" t="s">
        <v>83</v>
      </c>
      <c r="H6" s="13" t="s">
        <v>84</v>
      </c>
      <c r="I6" s="13" t="s">
        <v>85</v>
      </c>
      <c r="J6" s="13" t="s">
        <v>86</v>
      </c>
      <c r="K6" s="13" t="s">
        <v>87</v>
      </c>
      <c r="L6" s="13" t="s">
        <v>88</v>
      </c>
      <c r="M6" s="13" t="s">
        <v>89</v>
      </c>
      <c r="N6" s="13" t="s">
        <v>36</v>
      </c>
      <c r="O6" s="13" t="s">
        <v>37</v>
      </c>
      <c r="P6" s="13" t="s">
        <v>90</v>
      </c>
      <c r="Q6" s="13" t="s">
        <v>91</v>
      </c>
      <c r="R6" s="13" t="s">
        <v>92</v>
      </c>
      <c r="S6" s="13" t="s">
        <v>93</v>
      </c>
      <c r="T6" s="13" t="s">
        <v>94</v>
      </c>
      <c r="U6" s="13" t="s">
        <v>95</v>
      </c>
      <c r="V6" s="13" t="s">
        <v>96</v>
      </c>
      <c r="W6" s="13" t="s">
        <v>97</v>
      </c>
      <c r="X6" s="13" t="s">
        <v>40</v>
      </c>
      <c r="Y6" s="13" t="s">
        <v>98</v>
      </c>
    </row>
    <row r="7" spans="1:25" x14ac:dyDescent="0.25">
      <c r="A7" s="14" t="s">
        <v>99</v>
      </c>
      <c r="B7" s="14" t="s">
        <v>100</v>
      </c>
      <c r="C7" s="14" t="s">
        <v>18</v>
      </c>
      <c r="D7" s="14" t="s">
        <v>44</v>
      </c>
      <c r="E7" s="24" t="s">
        <v>415</v>
      </c>
      <c r="F7" s="14" t="s">
        <v>101</v>
      </c>
      <c r="G7" s="18" t="s">
        <v>456</v>
      </c>
      <c r="H7" s="6"/>
      <c r="I7" s="6"/>
      <c r="J7" s="15"/>
      <c r="K7" s="15"/>
      <c r="L7" s="15"/>
      <c r="M7" s="15"/>
      <c r="N7" s="6" t="s">
        <v>41</v>
      </c>
      <c r="O7" s="6" t="s">
        <v>63</v>
      </c>
      <c r="P7" s="16"/>
      <c r="Q7" s="16"/>
      <c r="R7" s="6"/>
      <c r="S7" s="6" t="s">
        <v>48</v>
      </c>
      <c r="T7" s="6" t="s">
        <v>48</v>
      </c>
      <c r="U7" s="15"/>
      <c r="V7" s="6"/>
      <c r="W7" s="6" t="s">
        <v>102</v>
      </c>
      <c r="X7" s="6" t="s">
        <v>45</v>
      </c>
      <c r="Y7" s="14">
        <v>6</v>
      </c>
    </row>
    <row r="8" spans="1:25" x14ac:dyDescent="0.25">
      <c r="A8" s="14" t="s">
        <v>103</v>
      </c>
      <c r="B8" s="14" t="s">
        <v>104</v>
      </c>
      <c r="C8" s="14" t="s">
        <v>18</v>
      </c>
      <c r="D8" s="14" t="s">
        <v>44</v>
      </c>
      <c r="E8" s="24" t="s">
        <v>416</v>
      </c>
      <c r="F8" s="14" t="s">
        <v>105</v>
      </c>
      <c r="G8" s="18" t="s">
        <v>457</v>
      </c>
      <c r="H8" s="6"/>
      <c r="I8" s="6"/>
      <c r="J8" s="15"/>
      <c r="K8" s="15"/>
      <c r="L8" s="15"/>
      <c r="M8" s="15"/>
      <c r="N8" s="6" t="s">
        <v>41</v>
      </c>
      <c r="O8" s="6" t="s">
        <v>63</v>
      </c>
      <c r="P8" s="16"/>
      <c r="Q8" s="16"/>
      <c r="R8" s="6"/>
      <c r="S8" s="6" t="s">
        <v>48</v>
      </c>
      <c r="T8" s="6" t="s">
        <v>48</v>
      </c>
      <c r="U8" s="15"/>
      <c r="V8" s="6"/>
      <c r="W8" s="6" t="s">
        <v>102</v>
      </c>
      <c r="X8" s="6" t="s">
        <v>45</v>
      </c>
      <c r="Y8" s="14">
        <v>7</v>
      </c>
    </row>
    <row r="9" spans="1:25" x14ac:dyDescent="0.25">
      <c r="A9" s="14" t="s">
        <v>106</v>
      </c>
      <c r="B9" s="14" t="s">
        <v>107</v>
      </c>
      <c r="C9" s="14" t="s">
        <v>18</v>
      </c>
      <c r="D9" s="14" t="s">
        <v>44</v>
      </c>
      <c r="E9" s="24" t="s">
        <v>417</v>
      </c>
      <c r="F9" s="14" t="s">
        <v>108</v>
      </c>
      <c r="G9" s="18" t="s">
        <v>458</v>
      </c>
      <c r="H9" s="6"/>
      <c r="I9" s="6"/>
      <c r="J9" s="15"/>
      <c r="K9" s="15"/>
      <c r="L9" s="15"/>
      <c r="M9" s="15"/>
      <c r="N9" s="6" t="s">
        <v>41</v>
      </c>
      <c r="O9" s="6" t="s">
        <v>63</v>
      </c>
      <c r="P9" s="16"/>
      <c r="Q9" s="16"/>
      <c r="R9" s="6"/>
      <c r="S9" s="6" t="s">
        <v>48</v>
      </c>
      <c r="T9" s="6" t="s">
        <v>48</v>
      </c>
      <c r="U9" s="15"/>
      <c r="V9" s="6"/>
      <c r="W9" s="6" t="s">
        <v>102</v>
      </c>
      <c r="X9" s="6" t="s">
        <v>45</v>
      </c>
      <c r="Y9" s="14">
        <v>6</v>
      </c>
    </row>
    <row r="10" spans="1:25" ht="16.5" x14ac:dyDescent="0.25">
      <c r="A10" s="14" t="s">
        <v>109</v>
      </c>
      <c r="B10" s="25" t="s">
        <v>110</v>
      </c>
      <c r="C10" s="14" t="s">
        <v>18</v>
      </c>
      <c r="D10" s="14" t="s">
        <v>44</v>
      </c>
      <c r="E10" s="23" t="s">
        <v>389</v>
      </c>
      <c r="F10" s="14" t="s">
        <v>111</v>
      </c>
      <c r="G10" s="18" t="s">
        <v>381</v>
      </c>
      <c r="H10" s="18" t="s">
        <v>380</v>
      </c>
      <c r="I10" s="6" t="s">
        <v>382</v>
      </c>
      <c r="J10" s="15"/>
      <c r="K10" s="15"/>
      <c r="L10" s="15"/>
      <c r="M10" s="15"/>
      <c r="N10" s="6" t="s">
        <v>41</v>
      </c>
      <c r="O10" s="6" t="s">
        <v>63</v>
      </c>
      <c r="P10" s="16"/>
      <c r="Q10" s="16"/>
      <c r="R10" s="6"/>
      <c r="S10" s="6" t="s">
        <v>48</v>
      </c>
      <c r="T10" s="6" t="s">
        <v>48</v>
      </c>
      <c r="U10" s="15"/>
      <c r="V10" s="6"/>
      <c r="W10" s="6" t="s">
        <v>102</v>
      </c>
      <c r="X10" s="6" t="s">
        <v>45</v>
      </c>
      <c r="Y10" s="14">
        <v>6</v>
      </c>
    </row>
    <row r="11" spans="1:25" x14ac:dyDescent="0.25">
      <c r="A11" s="14" t="s">
        <v>112</v>
      </c>
      <c r="B11" s="14" t="s">
        <v>113</v>
      </c>
      <c r="C11" s="14" t="s">
        <v>18</v>
      </c>
      <c r="D11" s="14" t="s">
        <v>44</v>
      </c>
      <c r="E11" s="24" t="s">
        <v>390</v>
      </c>
      <c r="F11" s="14" t="s">
        <v>114</v>
      </c>
      <c r="G11" s="19" t="s">
        <v>384</v>
      </c>
      <c r="H11" s="6" t="s">
        <v>383</v>
      </c>
      <c r="J11" s="15"/>
      <c r="K11" s="15"/>
      <c r="L11" s="15"/>
      <c r="M11" s="15"/>
      <c r="N11" s="6" t="s">
        <v>41</v>
      </c>
      <c r="O11" s="6" t="s">
        <v>63</v>
      </c>
      <c r="P11" s="16"/>
      <c r="Q11" s="16"/>
      <c r="R11" s="6"/>
      <c r="S11" s="6" t="s">
        <v>48</v>
      </c>
      <c r="T11" s="6" t="s">
        <v>48</v>
      </c>
      <c r="U11" s="15"/>
      <c r="V11" s="6"/>
      <c r="W11" s="6" t="s">
        <v>102</v>
      </c>
      <c r="X11" s="6" t="s">
        <v>45</v>
      </c>
      <c r="Y11" s="14">
        <v>6</v>
      </c>
    </row>
    <row r="12" spans="1:25" ht="16.5" x14ac:dyDescent="0.3">
      <c r="A12" s="14" t="s">
        <v>115</v>
      </c>
      <c r="B12" s="14" t="s">
        <v>116</v>
      </c>
      <c r="C12" s="14" t="s">
        <v>18</v>
      </c>
      <c r="D12" s="14" t="s">
        <v>49</v>
      </c>
      <c r="E12" s="24" t="s">
        <v>391</v>
      </c>
      <c r="F12" s="14" t="s">
        <v>117</v>
      </c>
      <c r="G12" s="22" t="s">
        <v>386</v>
      </c>
      <c r="H12" s="6"/>
      <c r="I12" s="6" t="s">
        <v>385</v>
      </c>
      <c r="J12" s="15"/>
      <c r="K12" s="15"/>
      <c r="L12" s="15"/>
      <c r="M12" s="15"/>
      <c r="N12" s="6" t="s">
        <v>41</v>
      </c>
      <c r="O12" s="6" t="s">
        <v>63</v>
      </c>
      <c r="P12" s="16"/>
      <c r="Q12" s="16"/>
      <c r="R12" s="6"/>
      <c r="S12" s="6" t="s">
        <v>48</v>
      </c>
      <c r="T12" s="6" t="s">
        <v>48</v>
      </c>
      <c r="U12" s="15"/>
      <c r="V12" s="6"/>
      <c r="W12" s="6" t="s">
        <v>102</v>
      </c>
      <c r="X12" s="6" t="s">
        <v>45</v>
      </c>
      <c r="Y12" s="14">
        <v>7</v>
      </c>
    </row>
    <row r="13" spans="1:25" ht="16.5" x14ac:dyDescent="0.25">
      <c r="A13" s="14" t="s">
        <v>118</v>
      </c>
      <c r="B13" s="14" t="s">
        <v>119</v>
      </c>
      <c r="C13" s="14" t="s">
        <v>18</v>
      </c>
      <c r="D13" s="14" t="s">
        <v>53</v>
      </c>
      <c r="E13" s="24" t="s">
        <v>388</v>
      </c>
      <c r="F13" s="14" t="s">
        <v>120</v>
      </c>
      <c r="G13" s="18" t="s">
        <v>459</v>
      </c>
      <c r="H13" s="23" t="s">
        <v>387</v>
      </c>
      <c r="I13" s="6"/>
      <c r="J13" s="15"/>
      <c r="K13" s="15"/>
      <c r="L13" s="15"/>
      <c r="M13" s="15"/>
      <c r="N13" s="6" t="s">
        <v>41</v>
      </c>
      <c r="O13" s="6" t="s">
        <v>63</v>
      </c>
      <c r="P13" s="16"/>
      <c r="Q13" s="16"/>
      <c r="R13" s="6"/>
      <c r="S13" s="6" t="s">
        <v>48</v>
      </c>
      <c r="T13" s="6" t="s">
        <v>48</v>
      </c>
      <c r="U13" s="15"/>
      <c r="V13" s="6"/>
      <c r="W13" s="6" t="s">
        <v>102</v>
      </c>
      <c r="X13" s="6" t="s">
        <v>45</v>
      </c>
      <c r="Y13" s="14">
        <v>8</v>
      </c>
    </row>
    <row r="14" spans="1:25" x14ac:dyDescent="0.25">
      <c r="A14" s="14" t="s">
        <v>121</v>
      </c>
      <c r="B14" s="14" t="s">
        <v>122</v>
      </c>
      <c r="C14" s="14" t="s">
        <v>18</v>
      </c>
      <c r="D14" s="14" t="s">
        <v>49</v>
      </c>
      <c r="E14" s="24" t="s">
        <v>392</v>
      </c>
      <c r="F14" s="14" t="s">
        <v>123</v>
      </c>
      <c r="G14" s="24" t="s">
        <v>419</v>
      </c>
      <c r="H14" s="6"/>
      <c r="I14" s="6"/>
      <c r="J14" s="15"/>
      <c r="K14" s="15"/>
      <c r="L14" s="15"/>
      <c r="M14" s="15"/>
      <c r="N14" s="6" t="s">
        <v>41</v>
      </c>
      <c r="O14" s="6" t="s">
        <v>63</v>
      </c>
      <c r="P14" s="16"/>
      <c r="Q14" s="16"/>
      <c r="R14" s="6"/>
      <c r="S14" s="6" t="s">
        <v>48</v>
      </c>
      <c r="T14" s="6" t="s">
        <v>48</v>
      </c>
      <c r="U14" s="15"/>
      <c r="V14" s="6"/>
      <c r="W14" s="6" t="s">
        <v>102</v>
      </c>
      <c r="X14" s="6" t="s">
        <v>45</v>
      </c>
      <c r="Y14" s="14">
        <v>7</v>
      </c>
    </row>
    <row r="15" spans="1:25" x14ac:dyDescent="0.25">
      <c r="A15" s="14" t="s">
        <v>124</v>
      </c>
      <c r="B15" s="14" t="s">
        <v>125</v>
      </c>
      <c r="C15" s="14" t="s">
        <v>18</v>
      </c>
      <c r="D15" s="14" t="s">
        <v>53</v>
      </c>
      <c r="E15" s="24" t="s">
        <v>418</v>
      </c>
      <c r="F15" s="14" t="s">
        <v>126</v>
      </c>
      <c r="G15" s="24" t="s">
        <v>419</v>
      </c>
      <c r="H15" s="6"/>
      <c r="I15" s="6"/>
      <c r="J15" s="15"/>
      <c r="K15" s="15"/>
      <c r="L15" s="15"/>
      <c r="M15" s="15"/>
      <c r="N15" s="6" t="s">
        <v>41</v>
      </c>
      <c r="O15" s="6" t="s">
        <v>63</v>
      </c>
      <c r="P15" s="16"/>
      <c r="Q15" s="16"/>
      <c r="R15" s="6"/>
      <c r="S15" s="6" t="s">
        <v>48</v>
      </c>
      <c r="T15" s="6" t="s">
        <v>48</v>
      </c>
      <c r="U15" s="15"/>
      <c r="V15" s="6"/>
      <c r="W15" s="6" t="s">
        <v>102</v>
      </c>
      <c r="X15" s="6" t="s">
        <v>45</v>
      </c>
      <c r="Y15" s="14">
        <v>6</v>
      </c>
    </row>
    <row r="16" spans="1:25" x14ac:dyDescent="0.25">
      <c r="A16" s="14" t="s">
        <v>127</v>
      </c>
      <c r="B16" s="14" t="s">
        <v>128</v>
      </c>
      <c r="C16" s="14" t="s">
        <v>18</v>
      </c>
      <c r="D16" s="14" t="s">
        <v>53</v>
      </c>
      <c r="E16" s="24" t="s">
        <v>393</v>
      </c>
      <c r="F16" s="14" t="s">
        <v>129</v>
      </c>
      <c r="G16" s="18" t="s">
        <v>394</v>
      </c>
      <c r="H16" s="6"/>
      <c r="I16" s="6"/>
      <c r="J16" s="15"/>
      <c r="K16" s="15"/>
      <c r="L16" s="15"/>
      <c r="M16" s="15"/>
      <c r="N16" s="6" t="s">
        <v>41</v>
      </c>
      <c r="O16" s="6" t="s">
        <v>63</v>
      </c>
      <c r="P16" s="16"/>
      <c r="Q16" s="16"/>
      <c r="R16" s="6"/>
      <c r="S16" s="6" t="s">
        <v>48</v>
      </c>
      <c r="T16" s="6" t="s">
        <v>48</v>
      </c>
      <c r="U16" s="15"/>
      <c r="V16" s="6"/>
      <c r="W16" s="6" t="s">
        <v>102</v>
      </c>
      <c r="X16" s="6" t="s">
        <v>45</v>
      </c>
      <c r="Y16" s="14">
        <v>7</v>
      </c>
    </row>
    <row r="17" spans="1:25" x14ac:dyDescent="0.25">
      <c r="A17" s="14" t="s">
        <v>130</v>
      </c>
      <c r="B17" s="25" t="s">
        <v>131</v>
      </c>
      <c r="C17" s="14" t="s">
        <v>18</v>
      </c>
      <c r="D17" s="14" t="s">
        <v>53</v>
      </c>
      <c r="E17" s="24" t="s">
        <v>419</v>
      </c>
      <c r="F17" s="14" t="s">
        <v>132</v>
      </c>
      <c r="G17" s="24" t="s">
        <v>419</v>
      </c>
      <c r="H17" s="6"/>
      <c r="I17" s="6"/>
      <c r="J17" s="15"/>
      <c r="K17" s="15"/>
      <c r="L17" s="15"/>
      <c r="M17" s="15"/>
      <c r="N17" s="6" t="s">
        <v>41</v>
      </c>
      <c r="O17" s="6" t="s">
        <v>63</v>
      </c>
      <c r="P17" s="16"/>
      <c r="Q17" s="16"/>
      <c r="R17" s="6"/>
      <c r="S17" s="6" t="s">
        <v>48</v>
      </c>
      <c r="T17" s="6" t="s">
        <v>48</v>
      </c>
      <c r="U17" s="15"/>
      <c r="V17" s="6"/>
      <c r="W17" s="6" t="s">
        <v>102</v>
      </c>
      <c r="X17" s="6" t="s">
        <v>45</v>
      </c>
      <c r="Y17" s="14">
        <v>6</v>
      </c>
    </row>
    <row r="18" spans="1:25" x14ac:dyDescent="0.25">
      <c r="A18" s="14" t="s">
        <v>133</v>
      </c>
      <c r="B18" s="14" t="s">
        <v>134</v>
      </c>
      <c r="C18" s="14" t="s">
        <v>18</v>
      </c>
      <c r="D18" s="14" t="s">
        <v>53</v>
      </c>
      <c r="E18" s="24" t="s">
        <v>398</v>
      </c>
      <c r="F18" s="14" t="s">
        <v>135</v>
      </c>
      <c r="G18" s="6"/>
      <c r="H18" s="6"/>
      <c r="I18" s="6"/>
      <c r="J18" s="15"/>
      <c r="K18" s="15"/>
      <c r="L18" s="15"/>
      <c r="M18" s="15"/>
      <c r="N18" s="6" t="s">
        <v>41</v>
      </c>
      <c r="O18" s="6" t="s">
        <v>63</v>
      </c>
      <c r="P18" s="16"/>
      <c r="Q18" s="16"/>
      <c r="R18" s="6"/>
      <c r="S18" s="6" t="s">
        <v>48</v>
      </c>
      <c r="T18" s="6" t="s">
        <v>48</v>
      </c>
      <c r="U18" s="15"/>
      <c r="V18" s="6"/>
      <c r="W18" s="6" t="s">
        <v>102</v>
      </c>
      <c r="X18" s="6" t="s">
        <v>45</v>
      </c>
      <c r="Y18" s="14">
        <v>6</v>
      </c>
    </row>
    <row r="19" spans="1:25" x14ac:dyDescent="0.25">
      <c r="A19" s="14" t="s">
        <v>136</v>
      </c>
      <c r="B19" s="14" t="s">
        <v>137</v>
      </c>
      <c r="C19" s="14" t="s">
        <v>19</v>
      </c>
      <c r="D19" s="14" t="s">
        <v>49</v>
      </c>
      <c r="E19" s="24" t="s">
        <v>395</v>
      </c>
      <c r="F19" s="14" t="s">
        <v>138</v>
      </c>
      <c r="G19" s="6"/>
      <c r="H19" s="6"/>
      <c r="I19" s="6"/>
      <c r="J19" s="15"/>
      <c r="K19" s="15"/>
      <c r="L19" s="15"/>
      <c r="M19" s="15"/>
      <c r="N19" s="6" t="s">
        <v>41</v>
      </c>
      <c r="O19" s="6" t="s">
        <v>63</v>
      </c>
      <c r="P19" s="16"/>
      <c r="Q19" s="16"/>
      <c r="R19" s="6"/>
      <c r="S19" s="6" t="s">
        <v>48</v>
      </c>
      <c r="T19" s="6" t="s">
        <v>48</v>
      </c>
      <c r="U19" s="15"/>
      <c r="V19" s="6"/>
      <c r="W19" s="6" t="s">
        <v>102</v>
      </c>
      <c r="X19" s="6" t="s">
        <v>45</v>
      </c>
      <c r="Y19" s="14">
        <v>8</v>
      </c>
    </row>
    <row r="20" spans="1:25" x14ac:dyDescent="0.25">
      <c r="A20" s="14" t="s">
        <v>139</v>
      </c>
      <c r="B20" s="14" t="s">
        <v>140</v>
      </c>
      <c r="C20" s="14" t="s">
        <v>19</v>
      </c>
      <c r="D20" s="14" t="s">
        <v>49</v>
      </c>
      <c r="E20" s="24" t="s">
        <v>396</v>
      </c>
      <c r="F20" s="25" t="s">
        <v>455</v>
      </c>
      <c r="G20" s="6"/>
      <c r="H20" s="6"/>
      <c r="I20" s="6"/>
      <c r="J20" s="15"/>
      <c r="K20" s="15"/>
      <c r="L20" s="15"/>
      <c r="M20" s="15"/>
      <c r="N20" s="6" t="s">
        <v>41</v>
      </c>
      <c r="O20" s="6" t="s">
        <v>63</v>
      </c>
      <c r="P20" s="16"/>
      <c r="Q20" s="16"/>
      <c r="R20" s="6"/>
      <c r="S20" s="6" t="s">
        <v>48</v>
      </c>
      <c r="T20" s="6" t="s">
        <v>48</v>
      </c>
      <c r="U20" s="15"/>
      <c r="V20" s="6"/>
      <c r="W20" s="6" t="s">
        <v>102</v>
      </c>
      <c r="X20" s="6" t="s">
        <v>45</v>
      </c>
      <c r="Y20" s="14">
        <v>8</v>
      </c>
    </row>
    <row r="21" spans="1:25" x14ac:dyDescent="0.25">
      <c r="A21" s="14" t="s">
        <v>141</v>
      </c>
      <c r="B21" s="14" t="s">
        <v>142</v>
      </c>
      <c r="C21" s="14" t="s">
        <v>19</v>
      </c>
      <c r="D21" s="14" t="s">
        <v>57</v>
      </c>
      <c r="E21" s="24" t="s">
        <v>406</v>
      </c>
      <c r="F21" s="14" t="s">
        <v>143</v>
      </c>
      <c r="G21" s="6"/>
      <c r="H21" s="6"/>
      <c r="I21" s="6"/>
      <c r="J21" s="15"/>
      <c r="K21" s="15"/>
      <c r="L21" s="15"/>
      <c r="M21" s="15"/>
      <c r="N21" s="6" t="s">
        <v>41</v>
      </c>
      <c r="O21" s="6" t="s">
        <v>63</v>
      </c>
      <c r="P21" s="16"/>
      <c r="Q21" s="16"/>
      <c r="R21" s="6"/>
      <c r="S21" s="6" t="s">
        <v>48</v>
      </c>
      <c r="T21" s="6" t="s">
        <v>48</v>
      </c>
      <c r="U21" s="15"/>
      <c r="V21" s="6"/>
      <c r="W21" s="6" t="s">
        <v>102</v>
      </c>
      <c r="X21" s="6" t="s">
        <v>45</v>
      </c>
      <c r="Y21" s="14">
        <v>7</v>
      </c>
    </row>
    <row r="22" spans="1:25" x14ac:dyDescent="0.25">
      <c r="A22" s="14" t="s">
        <v>144</v>
      </c>
      <c r="B22" s="14" t="s">
        <v>145</v>
      </c>
      <c r="C22" s="14" t="s">
        <v>19</v>
      </c>
      <c r="D22" s="14" t="s">
        <v>57</v>
      </c>
      <c r="E22" s="24" t="s">
        <v>399</v>
      </c>
      <c r="F22" s="14" t="s">
        <v>146</v>
      </c>
      <c r="G22" s="6"/>
      <c r="H22" s="6"/>
      <c r="I22" s="6"/>
      <c r="J22" s="15"/>
      <c r="K22" s="15"/>
      <c r="L22" s="15"/>
      <c r="M22" s="15"/>
      <c r="N22" s="6" t="s">
        <v>41</v>
      </c>
      <c r="O22" s="6" t="s">
        <v>63</v>
      </c>
      <c r="P22" s="16"/>
      <c r="Q22" s="16"/>
      <c r="R22" s="6"/>
      <c r="S22" s="6" t="s">
        <v>48</v>
      </c>
      <c r="T22" s="6" t="s">
        <v>48</v>
      </c>
      <c r="U22" s="15"/>
      <c r="V22" s="6"/>
      <c r="W22" s="6" t="s">
        <v>102</v>
      </c>
      <c r="X22" s="6" t="s">
        <v>45</v>
      </c>
      <c r="Y22" s="14">
        <v>8</v>
      </c>
    </row>
    <row r="23" spans="1:25" x14ac:dyDescent="0.25">
      <c r="A23" s="14" t="s">
        <v>147</v>
      </c>
      <c r="B23" s="14" t="s">
        <v>148</v>
      </c>
      <c r="C23" s="14" t="s">
        <v>19</v>
      </c>
      <c r="D23" s="14" t="s">
        <v>57</v>
      </c>
      <c r="E23" s="24" t="s">
        <v>400</v>
      </c>
      <c r="F23" s="14" t="s">
        <v>149</v>
      </c>
      <c r="G23" s="6"/>
      <c r="H23" s="6"/>
      <c r="I23" s="6"/>
      <c r="J23" s="15"/>
      <c r="K23" s="15"/>
      <c r="L23" s="15"/>
      <c r="M23" s="15"/>
      <c r="N23" s="6" t="s">
        <v>41</v>
      </c>
      <c r="O23" s="6" t="s">
        <v>63</v>
      </c>
      <c r="P23" s="16"/>
      <c r="Q23" s="16"/>
      <c r="R23" s="6"/>
      <c r="S23" s="6" t="s">
        <v>48</v>
      </c>
      <c r="T23" s="6" t="s">
        <v>48</v>
      </c>
      <c r="U23" s="15"/>
      <c r="V23" s="6"/>
      <c r="W23" s="6" t="s">
        <v>102</v>
      </c>
      <c r="X23" s="6" t="s">
        <v>45</v>
      </c>
      <c r="Y23" s="14">
        <v>7</v>
      </c>
    </row>
    <row r="24" spans="1:25" x14ac:dyDescent="0.25">
      <c r="A24" s="14" t="s">
        <v>150</v>
      </c>
      <c r="B24" s="14" t="s">
        <v>151</v>
      </c>
      <c r="C24" s="14" t="s">
        <v>19</v>
      </c>
      <c r="D24" s="14" t="s">
        <v>57</v>
      </c>
      <c r="E24" s="24" t="s">
        <v>407</v>
      </c>
      <c r="F24" s="14" t="s">
        <v>152</v>
      </c>
      <c r="G24" s="6"/>
      <c r="H24" s="6"/>
      <c r="I24" s="6"/>
      <c r="J24" s="15"/>
      <c r="K24" s="15"/>
      <c r="L24" s="15"/>
      <c r="M24" s="15"/>
      <c r="N24" s="6" t="s">
        <v>41</v>
      </c>
      <c r="O24" s="6" t="s">
        <v>63</v>
      </c>
      <c r="P24" s="16"/>
      <c r="Q24" s="16"/>
      <c r="R24" s="6"/>
      <c r="S24" s="6" t="s">
        <v>48</v>
      </c>
      <c r="T24" s="6" t="s">
        <v>48</v>
      </c>
      <c r="U24" s="15"/>
      <c r="V24" s="6"/>
      <c r="W24" s="6" t="s">
        <v>102</v>
      </c>
      <c r="X24" s="6" t="s">
        <v>45</v>
      </c>
      <c r="Y24" s="14">
        <v>7</v>
      </c>
    </row>
    <row r="25" spans="1:25" x14ac:dyDescent="0.25">
      <c r="A25" s="14" t="s">
        <v>153</v>
      </c>
      <c r="B25" s="14" t="s">
        <v>154</v>
      </c>
      <c r="C25" s="14" t="s">
        <v>20</v>
      </c>
      <c r="D25" s="14" t="s">
        <v>57</v>
      </c>
      <c r="E25" s="24" t="s">
        <v>397</v>
      </c>
      <c r="F25" s="14" t="s">
        <v>155</v>
      </c>
      <c r="G25" s="6"/>
      <c r="H25" s="6"/>
      <c r="I25" s="6"/>
      <c r="J25" s="15"/>
      <c r="K25" s="15"/>
      <c r="L25" s="15"/>
      <c r="M25" s="15"/>
      <c r="N25" s="6" t="s">
        <v>41</v>
      </c>
      <c r="O25" s="6" t="s">
        <v>63</v>
      </c>
      <c r="P25" s="16"/>
      <c r="Q25" s="16"/>
      <c r="R25" s="6"/>
      <c r="S25" s="6" t="s">
        <v>48</v>
      </c>
      <c r="T25" s="6" t="s">
        <v>48</v>
      </c>
      <c r="U25" s="15"/>
      <c r="V25" s="6"/>
      <c r="W25" s="6" t="s">
        <v>102</v>
      </c>
      <c r="X25" s="6" t="s">
        <v>45</v>
      </c>
      <c r="Y25" s="14">
        <v>7</v>
      </c>
    </row>
    <row r="26" spans="1:25" x14ac:dyDescent="0.25">
      <c r="A26" s="14" t="s">
        <v>156</v>
      </c>
      <c r="B26" s="14" t="s">
        <v>157</v>
      </c>
      <c r="C26" s="14" t="s">
        <v>20</v>
      </c>
      <c r="D26" s="14" t="s">
        <v>57</v>
      </c>
      <c r="E26" s="24" t="s">
        <v>420</v>
      </c>
      <c r="F26" s="14" t="s">
        <v>158</v>
      </c>
      <c r="G26" s="6"/>
      <c r="H26" s="6"/>
      <c r="I26" s="6"/>
      <c r="J26" s="15"/>
      <c r="K26" s="15"/>
      <c r="L26" s="15"/>
      <c r="M26" s="15"/>
      <c r="N26" s="6" t="s">
        <v>41</v>
      </c>
      <c r="O26" s="6" t="s">
        <v>63</v>
      </c>
      <c r="P26" s="16"/>
      <c r="Q26" s="16"/>
      <c r="R26" s="6"/>
      <c r="S26" s="6" t="s">
        <v>48</v>
      </c>
      <c r="T26" s="6" t="s">
        <v>48</v>
      </c>
      <c r="U26" s="15"/>
      <c r="V26" s="6"/>
      <c r="W26" s="6" t="s">
        <v>102</v>
      </c>
      <c r="X26" s="6" t="s">
        <v>45</v>
      </c>
      <c r="Y26" s="14">
        <v>6</v>
      </c>
    </row>
    <row r="27" spans="1:25" x14ac:dyDescent="0.25">
      <c r="A27" s="14" t="s">
        <v>159</v>
      </c>
      <c r="B27" s="14" t="s">
        <v>160</v>
      </c>
      <c r="C27" s="14" t="s">
        <v>20</v>
      </c>
      <c r="D27" s="14" t="s">
        <v>57</v>
      </c>
      <c r="E27" s="24" t="s">
        <v>401</v>
      </c>
      <c r="F27" s="14" t="s">
        <v>161</v>
      </c>
      <c r="G27" s="6"/>
      <c r="H27" s="6"/>
      <c r="I27" s="6"/>
      <c r="J27" s="15"/>
      <c r="K27" s="15"/>
      <c r="L27" s="15"/>
      <c r="M27" s="15"/>
      <c r="N27" s="6" t="s">
        <v>41</v>
      </c>
      <c r="O27" s="6" t="s">
        <v>63</v>
      </c>
      <c r="P27" s="16"/>
      <c r="Q27" s="16"/>
      <c r="R27" s="6"/>
      <c r="S27" s="6" t="s">
        <v>48</v>
      </c>
      <c r="T27" s="6" t="s">
        <v>48</v>
      </c>
      <c r="U27" s="15"/>
      <c r="V27" s="6"/>
      <c r="W27" s="6" t="s">
        <v>102</v>
      </c>
      <c r="X27" s="6" t="s">
        <v>45</v>
      </c>
      <c r="Y27" s="14">
        <v>7</v>
      </c>
    </row>
    <row r="28" spans="1:25" x14ac:dyDescent="0.25">
      <c r="A28" s="14" t="s">
        <v>162</v>
      </c>
      <c r="B28" s="14" t="s">
        <v>163</v>
      </c>
      <c r="C28" s="14" t="s">
        <v>20</v>
      </c>
      <c r="D28" s="14" t="s">
        <v>44</v>
      </c>
      <c r="E28" s="24" t="s">
        <v>402</v>
      </c>
      <c r="F28" s="14" t="s">
        <v>164</v>
      </c>
      <c r="G28" s="6"/>
      <c r="H28" s="6"/>
      <c r="I28" s="6"/>
      <c r="J28" s="15"/>
      <c r="K28" s="15"/>
      <c r="L28" s="15"/>
      <c r="M28" s="15"/>
      <c r="N28" s="6" t="s">
        <v>41</v>
      </c>
      <c r="O28" s="6" t="s">
        <v>63</v>
      </c>
      <c r="P28" s="16"/>
      <c r="Q28" s="16"/>
      <c r="R28" s="6"/>
      <c r="S28" s="6" t="s">
        <v>48</v>
      </c>
      <c r="T28" s="6" t="s">
        <v>48</v>
      </c>
      <c r="U28" s="15"/>
      <c r="V28" s="6"/>
      <c r="W28" s="6" t="s">
        <v>102</v>
      </c>
      <c r="X28" s="6" t="s">
        <v>45</v>
      </c>
      <c r="Y28" s="14">
        <v>7</v>
      </c>
    </row>
    <row r="29" spans="1:25" x14ac:dyDescent="0.25">
      <c r="A29" s="14" t="s">
        <v>165</v>
      </c>
      <c r="B29" s="14" t="s">
        <v>166</v>
      </c>
      <c r="C29" s="14" t="s">
        <v>20</v>
      </c>
      <c r="D29" s="14" t="s">
        <v>44</v>
      </c>
      <c r="E29" s="24" t="s">
        <v>408</v>
      </c>
      <c r="F29" s="14" t="s">
        <v>167</v>
      </c>
      <c r="G29" s="6"/>
      <c r="H29" s="6"/>
      <c r="I29" s="6"/>
      <c r="J29" s="15"/>
      <c r="K29" s="15"/>
      <c r="L29" s="15"/>
      <c r="M29" s="15"/>
      <c r="N29" s="6" t="s">
        <v>41</v>
      </c>
      <c r="O29" s="6" t="s">
        <v>63</v>
      </c>
      <c r="P29" s="16"/>
      <c r="Q29" s="16"/>
      <c r="R29" s="6"/>
      <c r="S29" s="6" t="s">
        <v>48</v>
      </c>
      <c r="T29" s="6" t="s">
        <v>48</v>
      </c>
      <c r="U29" s="15"/>
      <c r="V29" s="6"/>
      <c r="W29" s="6" t="s">
        <v>102</v>
      </c>
      <c r="X29" s="6" t="s">
        <v>45</v>
      </c>
      <c r="Y29" s="14">
        <v>7</v>
      </c>
    </row>
    <row r="30" spans="1:25" x14ac:dyDescent="0.25">
      <c r="A30" s="14" t="s">
        <v>168</v>
      </c>
      <c r="B30" s="14" t="s">
        <v>169</v>
      </c>
      <c r="C30" s="14" t="s">
        <v>20</v>
      </c>
      <c r="D30" s="14" t="s">
        <v>44</v>
      </c>
      <c r="E30" s="24" t="s">
        <v>409</v>
      </c>
      <c r="F30" s="14" t="s">
        <v>170</v>
      </c>
      <c r="G30" s="6"/>
      <c r="H30" s="6"/>
      <c r="I30" s="6"/>
      <c r="J30" s="15"/>
      <c r="K30" s="15"/>
      <c r="L30" s="15"/>
      <c r="M30" s="15"/>
      <c r="N30" s="6" t="s">
        <v>41</v>
      </c>
      <c r="O30" s="6" t="s">
        <v>63</v>
      </c>
      <c r="P30" s="16"/>
      <c r="Q30" s="16"/>
      <c r="R30" s="6"/>
      <c r="S30" s="6" t="s">
        <v>48</v>
      </c>
      <c r="T30" s="6" t="s">
        <v>48</v>
      </c>
      <c r="U30" s="15"/>
      <c r="V30" s="6"/>
      <c r="W30" s="6" t="s">
        <v>102</v>
      </c>
      <c r="X30" s="6" t="s">
        <v>45</v>
      </c>
      <c r="Y30" s="14">
        <v>8</v>
      </c>
    </row>
    <row r="31" spans="1:25" x14ac:dyDescent="0.25">
      <c r="A31" s="14" t="s">
        <v>171</v>
      </c>
      <c r="B31" s="14" t="s">
        <v>172</v>
      </c>
      <c r="C31" s="14" t="s">
        <v>21</v>
      </c>
      <c r="D31" s="14" t="s">
        <v>53</v>
      </c>
      <c r="E31" s="24" t="s">
        <v>410</v>
      </c>
      <c r="F31" s="14" t="s">
        <v>173</v>
      </c>
      <c r="G31" s="6"/>
      <c r="H31" s="6"/>
      <c r="I31" s="6"/>
      <c r="J31" s="15"/>
      <c r="K31" s="15"/>
      <c r="L31" s="15"/>
      <c r="M31" s="15"/>
      <c r="N31" s="6" t="s">
        <v>41</v>
      </c>
      <c r="O31" s="6" t="s">
        <v>63</v>
      </c>
      <c r="P31" s="16"/>
      <c r="Q31" s="16"/>
      <c r="R31" s="6"/>
      <c r="S31" s="6" t="s">
        <v>48</v>
      </c>
      <c r="T31" s="6" t="s">
        <v>48</v>
      </c>
      <c r="U31" s="15"/>
      <c r="V31" s="6"/>
      <c r="W31" s="6" t="s">
        <v>102</v>
      </c>
      <c r="X31" s="6" t="s">
        <v>45</v>
      </c>
      <c r="Y31" s="14">
        <v>7</v>
      </c>
    </row>
    <row r="32" spans="1:25" x14ac:dyDescent="0.25">
      <c r="A32" s="14" t="s">
        <v>174</v>
      </c>
      <c r="B32" s="14" t="s">
        <v>175</v>
      </c>
      <c r="C32" s="14" t="s">
        <v>21</v>
      </c>
      <c r="D32" s="14" t="s">
        <v>53</v>
      </c>
      <c r="E32" s="24" t="s">
        <v>411</v>
      </c>
      <c r="F32" s="14" t="s">
        <v>176</v>
      </c>
      <c r="G32" s="6"/>
      <c r="H32" s="6"/>
      <c r="I32" s="6"/>
      <c r="J32" s="15"/>
      <c r="K32" s="15"/>
      <c r="L32" s="15"/>
      <c r="M32" s="15"/>
      <c r="N32" s="6" t="s">
        <v>41</v>
      </c>
      <c r="O32" s="6" t="s">
        <v>63</v>
      </c>
      <c r="P32" s="16"/>
      <c r="Q32" s="16"/>
      <c r="R32" s="6"/>
      <c r="S32" s="6" t="s">
        <v>48</v>
      </c>
      <c r="T32" s="6" t="s">
        <v>48</v>
      </c>
      <c r="U32" s="15"/>
      <c r="V32" s="6"/>
      <c r="W32" s="6" t="s">
        <v>102</v>
      </c>
      <c r="X32" s="6" t="s">
        <v>45</v>
      </c>
      <c r="Y32" s="14">
        <v>8</v>
      </c>
    </row>
    <row r="33" spans="1:25" x14ac:dyDescent="0.25">
      <c r="A33" s="14" t="s">
        <v>177</v>
      </c>
      <c r="B33" s="14" t="s">
        <v>178</v>
      </c>
      <c r="C33" s="14" t="s">
        <v>21</v>
      </c>
      <c r="D33" s="14" t="s">
        <v>53</v>
      </c>
      <c r="E33" s="24" t="s">
        <v>419</v>
      </c>
      <c r="F33" s="14" t="s">
        <v>179</v>
      </c>
      <c r="G33" s="6"/>
      <c r="H33" s="6"/>
      <c r="I33" s="6"/>
      <c r="J33" s="15"/>
      <c r="K33" s="15"/>
      <c r="L33" s="15"/>
      <c r="M33" s="15"/>
      <c r="N33" s="6" t="s">
        <v>41</v>
      </c>
      <c r="O33" s="6" t="s">
        <v>63</v>
      </c>
      <c r="P33" s="16"/>
      <c r="Q33" s="16"/>
      <c r="R33" s="6"/>
      <c r="S33" s="6" t="s">
        <v>48</v>
      </c>
      <c r="T33" s="6" t="s">
        <v>48</v>
      </c>
      <c r="U33" s="15"/>
      <c r="V33" s="6"/>
      <c r="W33" s="6" t="s">
        <v>102</v>
      </c>
      <c r="X33" s="6" t="s">
        <v>45</v>
      </c>
      <c r="Y33" s="14">
        <v>6</v>
      </c>
    </row>
    <row r="34" spans="1:25" x14ac:dyDescent="0.25">
      <c r="A34" s="14" t="s">
        <v>180</v>
      </c>
      <c r="B34" s="14" t="s">
        <v>181</v>
      </c>
      <c r="C34" s="14" t="s">
        <v>22</v>
      </c>
      <c r="D34" s="14" t="s">
        <v>44</v>
      </c>
      <c r="E34" s="24" t="s">
        <v>403</v>
      </c>
      <c r="F34" s="14" t="s">
        <v>182</v>
      </c>
      <c r="G34" s="6"/>
      <c r="H34" s="6"/>
      <c r="I34" s="6"/>
      <c r="J34" s="15"/>
      <c r="K34" s="15"/>
      <c r="L34" s="15"/>
      <c r="M34" s="15"/>
      <c r="N34" s="6" t="s">
        <v>41</v>
      </c>
      <c r="O34" s="6" t="s">
        <v>63</v>
      </c>
      <c r="P34" s="16"/>
      <c r="Q34" s="16"/>
      <c r="R34" s="6"/>
      <c r="S34" s="6" t="s">
        <v>48</v>
      </c>
      <c r="T34" s="6" t="s">
        <v>48</v>
      </c>
      <c r="U34" s="15"/>
      <c r="V34" s="6"/>
      <c r="W34" s="6" t="s">
        <v>102</v>
      </c>
      <c r="X34" s="6" t="s">
        <v>45</v>
      </c>
      <c r="Y34" s="14">
        <v>7</v>
      </c>
    </row>
    <row r="35" spans="1:25" x14ac:dyDescent="0.25">
      <c r="A35" s="14" t="s">
        <v>183</v>
      </c>
      <c r="B35" s="14" t="s">
        <v>184</v>
      </c>
      <c r="C35" s="14" t="s">
        <v>22</v>
      </c>
      <c r="D35" s="14" t="s">
        <v>44</v>
      </c>
      <c r="E35" s="24" t="s">
        <v>421</v>
      </c>
      <c r="F35" s="14" t="s">
        <v>185</v>
      </c>
      <c r="G35" s="6"/>
      <c r="H35" s="6"/>
      <c r="I35" s="6"/>
      <c r="J35" s="15"/>
      <c r="K35" s="15"/>
      <c r="L35" s="15"/>
      <c r="M35" s="15"/>
      <c r="N35" s="6" t="s">
        <v>41</v>
      </c>
      <c r="O35" s="6" t="s">
        <v>63</v>
      </c>
      <c r="P35" s="16"/>
      <c r="Q35" s="16"/>
      <c r="R35" s="6"/>
      <c r="S35" s="6" t="s">
        <v>48</v>
      </c>
      <c r="T35" s="6" t="s">
        <v>48</v>
      </c>
      <c r="U35" s="15"/>
      <c r="V35" s="6"/>
      <c r="W35" s="6" t="s">
        <v>102</v>
      </c>
      <c r="X35" s="6" t="s">
        <v>45</v>
      </c>
      <c r="Y35" s="14">
        <v>7</v>
      </c>
    </row>
    <row r="36" spans="1:25" x14ac:dyDescent="0.25">
      <c r="A36" s="14" t="s">
        <v>186</v>
      </c>
      <c r="B36" s="14" t="s">
        <v>187</v>
      </c>
      <c r="C36" s="14" t="s">
        <v>22</v>
      </c>
      <c r="D36" s="14" t="s">
        <v>44</v>
      </c>
      <c r="E36" s="24" t="s">
        <v>422</v>
      </c>
      <c r="F36" s="14" t="s">
        <v>188</v>
      </c>
      <c r="G36" s="6"/>
      <c r="H36" s="6"/>
      <c r="I36" s="6"/>
      <c r="J36" s="15"/>
      <c r="K36" s="15"/>
      <c r="L36" s="15"/>
      <c r="M36" s="15"/>
      <c r="N36" s="6" t="s">
        <v>41</v>
      </c>
      <c r="O36" s="6" t="s">
        <v>63</v>
      </c>
      <c r="P36" s="16"/>
      <c r="Q36" s="16"/>
      <c r="R36" s="6"/>
      <c r="S36" s="6" t="s">
        <v>48</v>
      </c>
      <c r="T36" s="6" t="s">
        <v>48</v>
      </c>
      <c r="U36" s="15"/>
      <c r="V36" s="6"/>
      <c r="W36" s="6" t="s">
        <v>102</v>
      </c>
      <c r="X36" s="6" t="s">
        <v>45</v>
      </c>
      <c r="Y36" s="14">
        <v>7</v>
      </c>
    </row>
    <row r="37" spans="1:25" x14ac:dyDescent="0.25">
      <c r="A37" s="14" t="s">
        <v>189</v>
      </c>
      <c r="B37" s="14" t="s">
        <v>190</v>
      </c>
      <c r="C37" s="14" t="s">
        <v>22</v>
      </c>
      <c r="D37" s="14" t="s">
        <v>44</v>
      </c>
      <c r="E37" s="24" t="s">
        <v>412</v>
      </c>
      <c r="F37" s="14" t="s">
        <v>191</v>
      </c>
      <c r="G37" s="6"/>
      <c r="H37" s="6"/>
      <c r="I37" s="6"/>
      <c r="J37" s="15"/>
      <c r="K37" s="15"/>
      <c r="L37" s="15"/>
      <c r="M37" s="15"/>
      <c r="N37" s="6" t="s">
        <v>41</v>
      </c>
      <c r="O37" s="6" t="s">
        <v>63</v>
      </c>
      <c r="P37" s="16"/>
      <c r="Q37" s="16"/>
      <c r="R37" s="6"/>
      <c r="S37" s="6" t="s">
        <v>48</v>
      </c>
      <c r="T37" s="6" t="s">
        <v>48</v>
      </c>
      <c r="U37" s="15"/>
      <c r="V37" s="6"/>
      <c r="W37" s="6" t="s">
        <v>102</v>
      </c>
      <c r="X37" s="6" t="s">
        <v>45</v>
      </c>
      <c r="Y37" s="14">
        <v>6</v>
      </c>
    </row>
    <row r="38" spans="1:25" x14ac:dyDescent="0.25">
      <c r="A38" s="14" t="s">
        <v>192</v>
      </c>
      <c r="B38" s="14" t="s">
        <v>193</v>
      </c>
      <c r="C38" s="14" t="s">
        <v>23</v>
      </c>
      <c r="D38" s="14" t="s">
        <v>57</v>
      </c>
      <c r="E38" s="24" t="s">
        <v>423</v>
      </c>
      <c r="F38" s="14" t="s">
        <v>194</v>
      </c>
      <c r="G38" s="6"/>
      <c r="H38" s="6"/>
      <c r="I38" s="6"/>
      <c r="J38" s="15"/>
      <c r="K38" s="15"/>
      <c r="L38" s="15"/>
      <c r="M38" s="15"/>
      <c r="N38" s="6" t="s">
        <v>41</v>
      </c>
      <c r="O38" s="6" t="s">
        <v>63</v>
      </c>
      <c r="P38" s="16"/>
      <c r="Q38" s="16"/>
      <c r="R38" s="6"/>
      <c r="S38" s="6" t="s">
        <v>48</v>
      </c>
      <c r="T38" s="6" t="s">
        <v>48</v>
      </c>
      <c r="U38" s="15"/>
      <c r="V38" s="6"/>
      <c r="W38" s="6" t="s">
        <v>102</v>
      </c>
      <c r="X38" s="6" t="s">
        <v>45</v>
      </c>
      <c r="Y38" s="14">
        <v>7</v>
      </c>
    </row>
    <row r="39" spans="1:25" x14ac:dyDescent="0.25">
      <c r="A39" s="14" t="s">
        <v>195</v>
      </c>
      <c r="B39" s="14" t="s">
        <v>196</v>
      </c>
      <c r="C39" s="14" t="s">
        <v>23</v>
      </c>
      <c r="D39" s="14" t="s">
        <v>57</v>
      </c>
      <c r="E39" s="24" t="s">
        <v>404</v>
      </c>
      <c r="F39" s="14" t="s">
        <v>197</v>
      </c>
      <c r="G39" s="6"/>
      <c r="H39" s="6"/>
      <c r="I39" s="6"/>
      <c r="J39" s="15"/>
      <c r="K39" s="15"/>
      <c r="L39" s="15"/>
      <c r="M39" s="15"/>
      <c r="N39" s="6" t="s">
        <v>41</v>
      </c>
      <c r="O39" s="6" t="s">
        <v>63</v>
      </c>
      <c r="P39" s="16"/>
      <c r="Q39" s="16"/>
      <c r="R39" s="6"/>
      <c r="S39" s="6" t="s">
        <v>48</v>
      </c>
      <c r="T39" s="6" t="s">
        <v>48</v>
      </c>
      <c r="U39" s="15"/>
      <c r="V39" s="6"/>
      <c r="W39" s="6" t="s">
        <v>102</v>
      </c>
      <c r="X39" s="6" t="s">
        <v>45</v>
      </c>
      <c r="Y39" s="14">
        <v>8</v>
      </c>
    </row>
    <row r="40" spans="1:25" x14ac:dyDescent="0.25">
      <c r="A40" s="14" t="s">
        <v>198</v>
      </c>
      <c r="B40" s="14" t="s">
        <v>199</v>
      </c>
      <c r="C40" s="14" t="s">
        <v>23</v>
      </c>
      <c r="D40" s="14" t="s">
        <v>57</v>
      </c>
      <c r="E40" s="24" t="s">
        <v>413</v>
      </c>
      <c r="F40" s="14" t="s">
        <v>200</v>
      </c>
      <c r="G40" s="6"/>
      <c r="H40" s="6"/>
      <c r="I40" s="6"/>
      <c r="J40" s="15"/>
      <c r="K40" s="15"/>
      <c r="L40" s="15"/>
      <c r="M40" s="15"/>
      <c r="N40" s="6" t="s">
        <v>41</v>
      </c>
      <c r="O40" s="6" t="s">
        <v>63</v>
      </c>
      <c r="P40" s="16"/>
      <c r="Q40" s="16"/>
      <c r="R40" s="6"/>
      <c r="S40" s="6" t="s">
        <v>48</v>
      </c>
      <c r="T40" s="6" t="s">
        <v>48</v>
      </c>
      <c r="U40" s="15"/>
      <c r="V40" s="6"/>
      <c r="W40" s="6" t="s">
        <v>102</v>
      </c>
      <c r="X40" s="6" t="s">
        <v>45</v>
      </c>
      <c r="Y40" s="14">
        <v>7</v>
      </c>
    </row>
    <row r="41" spans="1:25" x14ac:dyDescent="0.25">
      <c r="A41" s="14" t="s">
        <v>201</v>
      </c>
      <c r="B41" s="14" t="s">
        <v>202</v>
      </c>
      <c r="C41" s="14" t="s">
        <v>23</v>
      </c>
      <c r="D41" s="14" t="s">
        <v>57</v>
      </c>
      <c r="E41" s="24" t="s">
        <v>414</v>
      </c>
      <c r="F41" s="14" t="s">
        <v>203</v>
      </c>
      <c r="G41" s="6"/>
      <c r="H41" s="6"/>
      <c r="I41" s="6"/>
      <c r="J41" s="15"/>
      <c r="K41" s="15"/>
      <c r="L41" s="15"/>
      <c r="M41" s="15"/>
      <c r="N41" s="6" t="s">
        <v>41</v>
      </c>
      <c r="O41" s="6" t="s">
        <v>63</v>
      </c>
      <c r="P41" s="16"/>
      <c r="Q41" s="16"/>
      <c r="R41" s="6"/>
      <c r="S41" s="6" t="s">
        <v>48</v>
      </c>
      <c r="T41" s="6" t="s">
        <v>48</v>
      </c>
      <c r="U41" s="15"/>
      <c r="V41" s="6"/>
      <c r="W41" s="6" t="s">
        <v>102</v>
      </c>
      <c r="X41" s="6" t="s">
        <v>45</v>
      </c>
      <c r="Y41" s="14">
        <v>6</v>
      </c>
    </row>
    <row r="42" spans="1:25" x14ac:dyDescent="0.25">
      <c r="A42" s="14" t="s">
        <v>204</v>
      </c>
      <c r="B42" s="14" t="s">
        <v>205</v>
      </c>
      <c r="C42" s="14" t="s">
        <v>24</v>
      </c>
      <c r="D42" s="14" t="s">
        <v>44</v>
      </c>
      <c r="E42" s="24" t="s">
        <v>405</v>
      </c>
      <c r="F42" s="14" t="s">
        <v>206</v>
      </c>
      <c r="G42" s="6"/>
      <c r="H42" s="6"/>
      <c r="I42" s="6"/>
      <c r="J42" s="15"/>
      <c r="K42" s="15"/>
      <c r="L42" s="15"/>
      <c r="M42" s="15"/>
      <c r="N42" s="6" t="s">
        <v>41</v>
      </c>
      <c r="O42" s="6" t="s">
        <v>63</v>
      </c>
      <c r="P42" s="16"/>
      <c r="Q42" s="16"/>
      <c r="R42" s="6"/>
      <c r="S42" s="6" t="s">
        <v>48</v>
      </c>
      <c r="T42" s="6" t="s">
        <v>48</v>
      </c>
      <c r="U42" s="15"/>
      <c r="V42" s="6"/>
      <c r="W42" s="6" t="s">
        <v>102</v>
      </c>
      <c r="X42" s="6" t="s">
        <v>45</v>
      </c>
      <c r="Y42" s="14">
        <v>7</v>
      </c>
    </row>
    <row r="43" spans="1:25" x14ac:dyDescent="0.25">
      <c r="A43" s="14" t="s">
        <v>207</v>
      </c>
      <c r="B43" s="14" t="s">
        <v>208</v>
      </c>
      <c r="C43" s="14" t="s">
        <v>24</v>
      </c>
      <c r="D43" s="14" t="s">
        <v>44</v>
      </c>
      <c r="E43" s="24" t="s">
        <v>424</v>
      </c>
      <c r="F43" s="14" t="s">
        <v>209</v>
      </c>
      <c r="G43" s="6"/>
      <c r="H43" s="6"/>
      <c r="I43" s="6"/>
      <c r="J43" s="15"/>
      <c r="K43" s="15"/>
      <c r="L43" s="15"/>
      <c r="M43" s="15"/>
      <c r="N43" s="6" t="s">
        <v>41</v>
      </c>
      <c r="O43" s="6" t="s">
        <v>63</v>
      </c>
      <c r="P43" s="16"/>
      <c r="Q43" s="16"/>
      <c r="R43" s="6"/>
      <c r="S43" s="6" t="s">
        <v>48</v>
      </c>
      <c r="T43" s="6" t="s">
        <v>48</v>
      </c>
      <c r="U43" s="15"/>
      <c r="V43" s="6"/>
      <c r="W43" s="6" t="s">
        <v>102</v>
      </c>
      <c r="X43" s="6" t="s">
        <v>45</v>
      </c>
      <c r="Y43" s="14">
        <v>7</v>
      </c>
    </row>
    <row r="44" spans="1:25" x14ac:dyDescent="0.25">
      <c r="A44" s="14" t="s">
        <v>210</v>
      </c>
      <c r="B44" s="14" t="s">
        <v>211</v>
      </c>
      <c r="C44" s="14" t="s">
        <v>24</v>
      </c>
      <c r="D44" s="14" t="s">
        <v>44</v>
      </c>
      <c r="E44" s="24" t="s">
        <v>425</v>
      </c>
      <c r="F44" s="14" t="s">
        <v>212</v>
      </c>
      <c r="G44" s="6"/>
      <c r="H44" s="6"/>
      <c r="I44" s="6"/>
      <c r="J44" s="15"/>
      <c r="K44" s="15"/>
      <c r="L44" s="15"/>
      <c r="M44" s="15"/>
      <c r="N44" s="6" t="s">
        <v>41</v>
      </c>
      <c r="O44" s="6" t="s">
        <v>63</v>
      </c>
      <c r="P44" s="16"/>
      <c r="Q44" s="16"/>
      <c r="R44" s="6"/>
      <c r="S44" s="6" t="s">
        <v>48</v>
      </c>
      <c r="T44" s="6" t="s">
        <v>48</v>
      </c>
      <c r="U44" s="15"/>
      <c r="V44" s="6"/>
      <c r="W44" s="6" t="s">
        <v>102</v>
      </c>
      <c r="X44" s="6" t="s">
        <v>45</v>
      </c>
      <c r="Y44" s="14">
        <v>8</v>
      </c>
    </row>
    <row r="45" spans="1:25" x14ac:dyDescent="0.25">
      <c r="A45" s="14" t="s">
        <v>213</v>
      </c>
      <c r="B45" s="14" t="s">
        <v>214</v>
      </c>
      <c r="C45" s="14" t="s">
        <v>24</v>
      </c>
      <c r="D45" s="14" t="s">
        <v>44</v>
      </c>
      <c r="E45" s="24" t="s">
        <v>426</v>
      </c>
      <c r="F45" s="14" t="s">
        <v>215</v>
      </c>
      <c r="G45" s="6"/>
      <c r="H45" s="6"/>
      <c r="I45" s="6"/>
      <c r="J45" s="15"/>
      <c r="K45" s="15"/>
      <c r="L45" s="15"/>
      <c r="M45" s="15"/>
      <c r="N45" s="6" t="s">
        <v>41</v>
      </c>
      <c r="O45" s="6" t="s">
        <v>63</v>
      </c>
      <c r="P45" s="16"/>
      <c r="Q45" s="16"/>
      <c r="R45" s="6"/>
      <c r="S45" s="6" t="s">
        <v>48</v>
      </c>
      <c r="T45" s="6" t="s">
        <v>48</v>
      </c>
      <c r="U45" s="15"/>
      <c r="V45" s="6"/>
      <c r="W45" s="6" t="s">
        <v>102</v>
      </c>
      <c r="X45" s="6" t="s">
        <v>45</v>
      </c>
      <c r="Y45" s="14">
        <v>6</v>
      </c>
    </row>
    <row r="46" spans="1:25" x14ac:dyDescent="0.25">
      <c r="A46" s="14" t="s">
        <v>216</v>
      </c>
      <c r="B46" s="14" t="s">
        <v>217</v>
      </c>
      <c r="C46" s="14" t="s">
        <v>25</v>
      </c>
      <c r="D46" s="14" t="s">
        <v>49</v>
      </c>
      <c r="E46" s="24" t="s">
        <v>419</v>
      </c>
      <c r="F46" s="14" t="s">
        <v>218</v>
      </c>
      <c r="G46" s="6"/>
      <c r="H46" s="6"/>
      <c r="I46" s="6"/>
      <c r="J46" s="15"/>
      <c r="K46" s="15"/>
      <c r="L46" s="15"/>
      <c r="M46" s="15"/>
      <c r="N46" s="6" t="s">
        <v>41</v>
      </c>
      <c r="O46" s="6" t="s">
        <v>63</v>
      </c>
      <c r="P46" s="16"/>
      <c r="Q46" s="16"/>
      <c r="R46" s="6"/>
      <c r="S46" s="6" t="s">
        <v>48</v>
      </c>
      <c r="T46" s="6" t="s">
        <v>48</v>
      </c>
      <c r="U46" s="15"/>
      <c r="V46" s="6"/>
      <c r="W46" s="6" t="s">
        <v>102</v>
      </c>
      <c r="X46" s="6" t="s">
        <v>45</v>
      </c>
      <c r="Y46" s="14">
        <v>7</v>
      </c>
    </row>
    <row r="47" spans="1:25" x14ac:dyDescent="0.25">
      <c r="A47" s="14" t="s">
        <v>219</v>
      </c>
      <c r="B47" s="14" t="s">
        <v>220</v>
      </c>
      <c r="C47" s="14" t="s">
        <v>25</v>
      </c>
      <c r="D47" s="14" t="s">
        <v>49</v>
      </c>
      <c r="E47" s="24" t="s">
        <v>427</v>
      </c>
      <c r="F47" s="14" t="s">
        <v>221</v>
      </c>
      <c r="G47" s="6"/>
      <c r="H47" s="6"/>
      <c r="I47" s="6"/>
      <c r="J47" s="15"/>
      <c r="K47" s="15"/>
      <c r="L47" s="15"/>
      <c r="M47" s="15"/>
      <c r="N47" s="6" t="s">
        <v>41</v>
      </c>
      <c r="O47" s="6" t="s">
        <v>63</v>
      </c>
      <c r="P47" s="16"/>
      <c r="Q47" s="16"/>
      <c r="R47" s="6"/>
      <c r="S47" s="6" t="s">
        <v>48</v>
      </c>
      <c r="T47" s="6" t="s">
        <v>48</v>
      </c>
      <c r="U47" s="15"/>
      <c r="V47" s="6"/>
      <c r="W47" s="6" t="s">
        <v>102</v>
      </c>
      <c r="X47" s="6" t="s">
        <v>45</v>
      </c>
      <c r="Y47" s="14">
        <v>7</v>
      </c>
    </row>
    <row r="48" spans="1:25" x14ac:dyDescent="0.25">
      <c r="A48" s="14" t="s">
        <v>222</v>
      </c>
      <c r="B48" s="14" t="s">
        <v>223</v>
      </c>
      <c r="C48" s="14" t="s">
        <v>25</v>
      </c>
      <c r="D48" s="14" t="s">
        <v>49</v>
      </c>
      <c r="E48" s="24" t="s">
        <v>428</v>
      </c>
      <c r="F48" s="14" t="s">
        <v>224</v>
      </c>
      <c r="G48" s="6"/>
      <c r="H48" s="6"/>
      <c r="I48" s="6"/>
      <c r="J48" s="15"/>
      <c r="K48" s="15"/>
      <c r="L48" s="15"/>
      <c r="M48" s="15"/>
      <c r="N48" s="6" t="s">
        <v>41</v>
      </c>
      <c r="O48" s="6" t="s">
        <v>63</v>
      </c>
      <c r="P48" s="16"/>
      <c r="Q48" s="16"/>
      <c r="R48" s="6"/>
      <c r="S48" s="6" t="s">
        <v>48</v>
      </c>
      <c r="T48" s="6" t="s">
        <v>48</v>
      </c>
      <c r="U48" s="15"/>
      <c r="V48" s="6"/>
      <c r="W48" s="6" t="s">
        <v>102</v>
      </c>
      <c r="X48" s="6" t="s">
        <v>45</v>
      </c>
      <c r="Y48" s="14">
        <v>8</v>
      </c>
    </row>
    <row r="49" spans="1:25" x14ac:dyDescent="0.25">
      <c r="A49" s="14" t="s">
        <v>225</v>
      </c>
      <c r="B49" s="14" t="s">
        <v>226</v>
      </c>
      <c r="C49" s="14" t="s">
        <v>25</v>
      </c>
      <c r="D49" s="14" t="s">
        <v>49</v>
      </c>
      <c r="E49" s="24" t="s">
        <v>429</v>
      </c>
      <c r="F49" s="14" t="s">
        <v>227</v>
      </c>
      <c r="G49" s="6"/>
      <c r="H49" s="6"/>
      <c r="I49" s="6"/>
      <c r="J49" s="15"/>
      <c r="K49" s="15"/>
      <c r="L49" s="15"/>
      <c r="M49" s="15"/>
      <c r="N49" s="6" t="s">
        <v>41</v>
      </c>
      <c r="O49" s="6" t="s">
        <v>63</v>
      </c>
      <c r="P49" s="16"/>
      <c r="Q49" s="16"/>
      <c r="R49" s="6"/>
      <c r="S49" s="6" t="s">
        <v>48</v>
      </c>
      <c r="T49" s="6" t="s">
        <v>48</v>
      </c>
      <c r="U49" s="15"/>
      <c r="V49" s="6"/>
      <c r="W49" s="6" t="s">
        <v>102</v>
      </c>
      <c r="X49" s="6" t="s">
        <v>45</v>
      </c>
      <c r="Y49" s="14">
        <v>7</v>
      </c>
    </row>
    <row r="50" spans="1:25" x14ac:dyDescent="0.25">
      <c r="A50" s="14" t="s">
        <v>228</v>
      </c>
      <c r="B50" s="14" t="s">
        <v>229</v>
      </c>
      <c r="C50" s="14" t="s">
        <v>25</v>
      </c>
      <c r="D50" s="14" t="s">
        <v>53</v>
      </c>
      <c r="E50" s="24" t="s">
        <v>430</v>
      </c>
      <c r="F50" s="14" t="s">
        <v>230</v>
      </c>
      <c r="G50" s="6"/>
      <c r="H50" s="6"/>
      <c r="I50" s="6"/>
      <c r="J50" s="15"/>
      <c r="K50" s="15"/>
      <c r="L50" s="15"/>
      <c r="M50" s="15"/>
      <c r="N50" s="6" t="s">
        <v>41</v>
      </c>
      <c r="O50" s="6" t="s">
        <v>63</v>
      </c>
      <c r="P50" s="16"/>
      <c r="Q50" s="16"/>
      <c r="R50" s="6"/>
      <c r="S50" s="6" t="s">
        <v>48</v>
      </c>
      <c r="T50" s="6" t="s">
        <v>48</v>
      </c>
      <c r="U50" s="15"/>
      <c r="V50" s="6"/>
      <c r="W50" s="6" t="s">
        <v>102</v>
      </c>
      <c r="X50" s="6" t="s">
        <v>45</v>
      </c>
      <c r="Y50" s="14">
        <v>7</v>
      </c>
    </row>
    <row r="51" spans="1:25" x14ac:dyDescent="0.25">
      <c r="A51" s="14" t="s">
        <v>231</v>
      </c>
      <c r="B51" s="14" t="s">
        <v>232</v>
      </c>
      <c r="C51" s="14" t="s">
        <v>26</v>
      </c>
      <c r="D51" s="14" t="s">
        <v>57</v>
      </c>
      <c r="E51" s="24" t="s">
        <v>431</v>
      </c>
      <c r="F51" s="14" t="s">
        <v>233</v>
      </c>
      <c r="G51" s="6"/>
      <c r="H51" s="6"/>
      <c r="I51" s="6"/>
      <c r="J51" s="15"/>
      <c r="K51" s="15"/>
      <c r="L51" s="15"/>
      <c r="M51" s="15"/>
      <c r="N51" s="6" t="s">
        <v>41</v>
      </c>
      <c r="O51" s="6" t="s">
        <v>63</v>
      </c>
      <c r="P51" s="16"/>
      <c r="Q51" s="16"/>
      <c r="R51" s="6"/>
      <c r="S51" s="6" t="s">
        <v>48</v>
      </c>
      <c r="T51" s="6" t="s">
        <v>48</v>
      </c>
      <c r="U51" s="15"/>
      <c r="V51" s="6"/>
      <c r="W51" s="6" t="s">
        <v>102</v>
      </c>
      <c r="X51" s="6" t="s">
        <v>45</v>
      </c>
      <c r="Y51" s="14">
        <v>7</v>
      </c>
    </row>
    <row r="52" spans="1:25" x14ac:dyDescent="0.25">
      <c r="A52" s="14" t="s">
        <v>234</v>
      </c>
      <c r="B52" s="14" t="s">
        <v>235</v>
      </c>
      <c r="C52" s="14" t="s">
        <v>26</v>
      </c>
      <c r="D52" s="14" t="s">
        <v>57</v>
      </c>
      <c r="E52" s="24" t="s">
        <v>432</v>
      </c>
      <c r="F52" s="14" t="s">
        <v>236</v>
      </c>
      <c r="G52" s="6"/>
      <c r="H52" s="6"/>
      <c r="I52" s="6"/>
      <c r="J52" s="15"/>
      <c r="K52" s="15"/>
      <c r="L52" s="15"/>
      <c r="M52" s="15"/>
      <c r="N52" s="6" t="s">
        <v>41</v>
      </c>
      <c r="O52" s="6" t="s">
        <v>63</v>
      </c>
      <c r="P52" s="16"/>
      <c r="Q52" s="16"/>
      <c r="R52" s="6"/>
      <c r="S52" s="6" t="s">
        <v>48</v>
      </c>
      <c r="T52" s="6" t="s">
        <v>48</v>
      </c>
      <c r="U52" s="15"/>
      <c r="V52" s="6"/>
      <c r="W52" s="6" t="s">
        <v>102</v>
      </c>
      <c r="X52" s="6" t="s">
        <v>45</v>
      </c>
      <c r="Y52" s="14">
        <v>7</v>
      </c>
    </row>
    <row r="53" spans="1:25" x14ac:dyDescent="0.25">
      <c r="A53" s="14" t="s">
        <v>237</v>
      </c>
      <c r="B53" s="14" t="s">
        <v>238</v>
      </c>
      <c r="C53" s="14" t="s">
        <v>26</v>
      </c>
      <c r="D53" s="14" t="s">
        <v>57</v>
      </c>
      <c r="E53" s="24" t="s">
        <v>433</v>
      </c>
      <c r="F53" s="14" t="s">
        <v>239</v>
      </c>
      <c r="G53" s="6"/>
      <c r="H53" s="6"/>
      <c r="I53" s="6"/>
      <c r="J53" s="15"/>
      <c r="K53" s="15"/>
      <c r="L53" s="15"/>
      <c r="M53" s="15"/>
      <c r="N53" s="6" t="s">
        <v>41</v>
      </c>
      <c r="O53" s="6" t="s">
        <v>63</v>
      </c>
      <c r="P53" s="16"/>
      <c r="Q53" s="16"/>
      <c r="R53" s="6"/>
      <c r="S53" s="6" t="s">
        <v>48</v>
      </c>
      <c r="T53" s="6" t="s">
        <v>48</v>
      </c>
      <c r="U53" s="15"/>
      <c r="V53" s="6"/>
      <c r="W53" s="6" t="s">
        <v>102</v>
      </c>
      <c r="X53" s="6" t="s">
        <v>45</v>
      </c>
      <c r="Y53" s="14">
        <v>6</v>
      </c>
    </row>
    <row r="54" spans="1:25" x14ac:dyDescent="0.25">
      <c r="A54" s="14" t="s">
        <v>240</v>
      </c>
      <c r="B54" s="14" t="s">
        <v>241</v>
      </c>
      <c r="C54" s="14" t="s">
        <v>26</v>
      </c>
      <c r="D54" s="14" t="s">
        <v>44</v>
      </c>
      <c r="E54" s="24" t="s">
        <v>424</v>
      </c>
      <c r="F54" s="14" t="s">
        <v>242</v>
      </c>
      <c r="G54" s="6"/>
      <c r="H54" s="6"/>
      <c r="I54" s="6"/>
      <c r="J54" s="15"/>
      <c r="K54" s="15"/>
      <c r="L54" s="15"/>
      <c r="M54" s="15"/>
      <c r="N54" s="6" t="s">
        <v>41</v>
      </c>
      <c r="O54" s="6" t="s">
        <v>63</v>
      </c>
      <c r="P54" s="16"/>
      <c r="Q54" s="16"/>
      <c r="R54" s="6"/>
      <c r="S54" s="6" t="s">
        <v>48</v>
      </c>
      <c r="T54" s="6" t="s">
        <v>48</v>
      </c>
      <c r="U54" s="15"/>
      <c r="V54" s="6"/>
      <c r="W54" s="6" t="s">
        <v>102</v>
      </c>
      <c r="X54" s="6" t="s">
        <v>45</v>
      </c>
      <c r="Y54" s="14">
        <v>6</v>
      </c>
    </row>
    <row r="55" spans="1:25" x14ac:dyDescent="0.25">
      <c r="A55" s="14" t="s">
        <v>243</v>
      </c>
      <c r="B55" s="14" t="s">
        <v>244</v>
      </c>
      <c r="C55" s="14" t="s">
        <v>27</v>
      </c>
      <c r="D55" s="14" t="s">
        <v>53</v>
      </c>
      <c r="E55" s="24" t="s">
        <v>434</v>
      </c>
      <c r="F55" s="14" t="s">
        <v>245</v>
      </c>
      <c r="G55" s="6"/>
      <c r="H55" s="6"/>
      <c r="I55" s="6"/>
      <c r="J55" s="15"/>
      <c r="K55" s="15"/>
      <c r="L55" s="15"/>
      <c r="M55" s="15"/>
      <c r="N55" s="6" t="s">
        <v>41</v>
      </c>
      <c r="O55" s="6" t="s">
        <v>63</v>
      </c>
      <c r="P55" s="16"/>
      <c r="Q55" s="16"/>
      <c r="R55" s="6"/>
      <c r="S55" s="6" t="s">
        <v>48</v>
      </c>
      <c r="T55" s="6" t="s">
        <v>48</v>
      </c>
      <c r="U55" s="15"/>
      <c r="V55" s="6"/>
      <c r="W55" s="6" t="s">
        <v>102</v>
      </c>
      <c r="X55" s="6" t="s">
        <v>45</v>
      </c>
      <c r="Y55" s="14">
        <v>8</v>
      </c>
    </row>
    <row r="56" spans="1:25" x14ac:dyDescent="0.25">
      <c r="A56" s="14" t="s">
        <v>246</v>
      </c>
      <c r="B56" s="14" t="s">
        <v>247</v>
      </c>
      <c r="C56" s="14" t="s">
        <v>27</v>
      </c>
      <c r="D56" s="14" t="s">
        <v>53</v>
      </c>
      <c r="E56" s="24" t="s">
        <v>435</v>
      </c>
      <c r="F56" s="14" t="s">
        <v>248</v>
      </c>
      <c r="G56" s="6"/>
      <c r="H56" s="6"/>
      <c r="I56" s="6"/>
      <c r="J56" s="15"/>
      <c r="K56" s="15"/>
      <c r="L56" s="15"/>
      <c r="M56" s="15"/>
      <c r="N56" s="6" t="s">
        <v>41</v>
      </c>
      <c r="O56" s="6" t="s">
        <v>63</v>
      </c>
      <c r="P56" s="16"/>
      <c r="Q56" s="16"/>
      <c r="R56" s="6"/>
      <c r="S56" s="6" t="s">
        <v>48</v>
      </c>
      <c r="T56" s="6" t="s">
        <v>48</v>
      </c>
      <c r="U56" s="15"/>
      <c r="V56" s="6"/>
      <c r="W56" s="6" t="s">
        <v>102</v>
      </c>
      <c r="X56" s="6" t="s">
        <v>45</v>
      </c>
      <c r="Y56" s="14">
        <v>7</v>
      </c>
    </row>
    <row r="57" spans="1:25" x14ac:dyDescent="0.25">
      <c r="A57" s="14" t="s">
        <v>249</v>
      </c>
      <c r="B57" s="14" t="s">
        <v>250</v>
      </c>
      <c r="C57" s="14" t="s">
        <v>27</v>
      </c>
      <c r="D57" s="14" t="s">
        <v>53</v>
      </c>
      <c r="E57" s="24" t="s">
        <v>419</v>
      </c>
      <c r="F57" s="14" t="s">
        <v>251</v>
      </c>
      <c r="G57" s="6"/>
      <c r="H57" s="6"/>
      <c r="I57" s="6"/>
      <c r="J57" s="15"/>
      <c r="K57" s="15"/>
      <c r="L57" s="15"/>
      <c r="M57" s="15"/>
      <c r="N57" s="6" t="s">
        <v>41</v>
      </c>
      <c r="O57" s="6" t="s">
        <v>63</v>
      </c>
      <c r="P57" s="16"/>
      <c r="Q57" s="16"/>
      <c r="R57" s="6"/>
      <c r="S57" s="6" t="s">
        <v>48</v>
      </c>
      <c r="T57" s="6" t="s">
        <v>48</v>
      </c>
      <c r="U57" s="15"/>
      <c r="V57" s="6"/>
      <c r="W57" s="6" t="s">
        <v>102</v>
      </c>
      <c r="X57" s="6" t="s">
        <v>45</v>
      </c>
      <c r="Y57" s="14">
        <v>6</v>
      </c>
    </row>
    <row r="58" spans="1:25" x14ac:dyDescent="0.25">
      <c r="A58" s="14" t="s">
        <v>252</v>
      </c>
      <c r="B58" s="14" t="s">
        <v>253</v>
      </c>
      <c r="C58" s="14" t="s">
        <v>28</v>
      </c>
      <c r="D58" s="14" t="s">
        <v>57</v>
      </c>
      <c r="E58" s="24" t="s">
        <v>436</v>
      </c>
      <c r="F58" s="14" t="s">
        <v>254</v>
      </c>
      <c r="G58" s="6"/>
      <c r="H58" s="6"/>
      <c r="I58" s="6"/>
      <c r="J58" s="15"/>
      <c r="K58" s="15"/>
      <c r="L58" s="15"/>
      <c r="M58" s="15"/>
      <c r="N58" s="6" t="s">
        <v>41</v>
      </c>
      <c r="O58" s="6" t="s">
        <v>63</v>
      </c>
      <c r="P58" s="16"/>
      <c r="Q58" s="16"/>
      <c r="R58" s="6"/>
      <c r="S58" s="6" t="s">
        <v>48</v>
      </c>
      <c r="T58" s="6" t="s">
        <v>48</v>
      </c>
      <c r="U58" s="15"/>
      <c r="V58" s="6"/>
      <c r="W58" s="6" t="s">
        <v>102</v>
      </c>
      <c r="X58" s="6" t="s">
        <v>45</v>
      </c>
      <c r="Y58" s="14">
        <v>7</v>
      </c>
    </row>
    <row r="59" spans="1:25" x14ac:dyDescent="0.25">
      <c r="A59" s="14" t="s">
        <v>255</v>
      </c>
      <c r="B59" s="14" t="s">
        <v>256</v>
      </c>
      <c r="C59" s="14" t="s">
        <v>28</v>
      </c>
      <c r="D59" s="14" t="s">
        <v>57</v>
      </c>
      <c r="E59" s="24" t="s">
        <v>437</v>
      </c>
      <c r="F59" s="14" t="s">
        <v>257</v>
      </c>
      <c r="G59" s="6"/>
      <c r="H59" s="6"/>
      <c r="I59" s="6"/>
      <c r="J59" s="15"/>
      <c r="K59" s="15"/>
      <c r="L59" s="15"/>
      <c r="M59" s="15"/>
      <c r="N59" s="6" t="s">
        <v>41</v>
      </c>
      <c r="O59" s="6" t="s">
        <v>63</v>
      </c>
      <c r="P59" s="16"/>
      <c r="Q59" s="16"/>
      <c r="R59" s="6"/>
      <c r="S59" s="6" t="s">
        <v>48</v>
      </c>
      <c r="T59" s="6" t="s">
        <v>48</v>
      </c>
      <c r="U59" s="15"/>
      <c r="V59" s="6"/>
      <c r="W59" s="6" t="s">
        <v>102</v>
      </c>
      <c r="X59" s="6" t="s">
        <v>45</v>
      </c>
      <c r="Y59" s="14">
        <v>7</v>
      </c>
    </row>
    <row r="60" spans="1:25" x14ac:dyDescent="0.25">
      <c r="A60" s="14" t="s">
        <v>258</v>
      </c>
      <c r="B60" s="14" t="s">
        <v>259</v>
      </c>
      <c r="C60" s="14" t="s">
        <v>28</v>
      </c>
      <c r="D60" s="14" t="s">
        <v>57</v>
      </c>
      <c r="E60" s="24" t="s">
        <v>438</v>
      </c>
      <c r="F60" s="14" t="s">
        <v>260</v>
      </c>
      <c r="G60" s="6"/>
      <c r="H60" s="6"/>
      <c r="I60" s="6"/>
      <c r="J60" s="15"/>
      <c r="K60" s="15"/>
      <c r="L60" s="15"/>
      <c r="M60" s="15"/>
      <c r="N60" s="6" t="s">
        <v>41</v>
      </c>
      <c r="O60" s="6" t="s">
        <v>63</v>
      </c>
      <c r="P60" s="16"/>
      <c r="Q60" s="16"/>
      <c r="R60" s="6"/>
      <c r="S60" s="6" t="s">
        <v>48</v>
      </c>
      <c r="T60" s="6" t="s">
        <v>48</v>
      </c>
      <c r="U60" s="15"/>
      <c r="V60" s="6"/>
      <c r="W60" s="6" t="s">
        <v>102</v>
      </c>
      <c r="X60" s="6" t="s">
        <v>45</v>
      </c>
      <c r="Y60" s="14">
        <v>7</v>
      </c>
    </row>
    <row r="61" spans="1:25" x14ac:dyDescent="0.25">
      <c r="A61" s="14" t="s">
        <v>261</v>
      </c>
      <c r="B61" s="14" t="s">
        <v>262</v>
      </c>
      <c r="C61" s="14" t="s">
        <v>28</v>
      </c>
      <c r="D61" s="14" t="s">
        <v>57</v>
      </c>
      <c r="E61" s="24" t="s">
        <v>419</v>
      </c>
      <c r="F61" s="14" t="s">
        <v>263</v>
      </c>
      <c r="G61" s="6"/>
      <c r="H61" s="6"/>
      <c r="I61" s="6"/>
      <c r="J61" s="15"/>
      <c r="K61" s="15"/>
      <c r="L61" s="15"/>
      <c r="M61" s="15"/>
      <c r="N61" s="6" t="s">
        <v>41</v>
      </c>
      <c r="O61" s="6" t="s">
        <v>63</v>
      </c>
      <c r="P61" s="16"/>
      <c r="Q61" s="16"/>
      <c r="R61" s="6"/>
      <c r="S61" s="6" t="s">
        <v>48</v>
      </c>
      <c r="T61" s="6" t="s">
        <v>48</v>
      </c>
      <c r="U61" s="15"/>
      <c r="V61" s="6"/>
      <c r="W61" s="6" t="s">
        <v>102</v>
      </c>
      <c r="X61" s="6" t="s">
        <v>45</v>
      </c>
      <c r="Y61" s="14">
        <v>6</v>
      </c>
    </row>
    <row r="62" spans="1:25" x14ac:dyDescent="0.25">
      <c r="A62" s="14" t="s">
        <v>264</v>
      </c>
      <c r="B62" s="14" t="s">
        <v>265</v>
      </c>
      <c r="C62" s="14" t="s">
        <v>29</v>
      </c>
      <c r="D62" s="14" t="s">
        <v>44</v>
      </c>
      <c r="E62" s="24" t="s">
        <v>439</v>
      </c>
      <c r="F62" s="14" t="s">
        <v>266</v>
      </c>
      <c r="G62" s="6"/>
      <c r="H62" s="6"/>
      <c r="I62" s="6"/>
      <c r="J62" s="15"/>
      <c r="K62" s="15"/>
      <c r="L62" s="15"/>
      <c r="M62" s="15"/>
      <c r="N62" s="6" t="s">
        <v>41</v>
      </c>
      <c r="O62" s="6" t="s">
        <v>63</v>
      </c>
      <c r="P62" s="16"/>
      <c r="Q62" s="16"/>
      <c r="R62" s="6"/>
      <c r="S62" s="6" t="s">
        <v>48</v>
      </c>
      <c r="T62" s="6" t="s">
        <v>48</v>
      </c>
      <c r="U62" s="15"/>
      <c r="V62" s="6"/>
      <c r="W62" s="6" t="s">
        <v>102</v>
      </c>
      <c r="X62" s="6" t="s">
        <v>45</v>
      </c>
      <c r="Y62" s="14">
        <v>8</v>
      </c>
    </row>
    <row r="63" spans="1:25" x14ac:dyDescent="0.25">
      <c r="A63" s="14" t="s">
        <v>267</v>
      </c>
      <c r="B63" s="14" t="s">
        <v>268</v>
      </c>
      <c r="C63" s="14" t="s">
        <v>29</v>
      </c>
      <c r="D63" s="14" t="s">
        <v>44</v>
      </c>
      <c r="E63" s="24" t="s">
        <v>440</v>
      </c>
      <c r="F63" s="14" t="s">
        <v>269</v>
      </c>
      <c r="G63" s="6"/>
      <c r="H63" s="6"/>
      <c r="I63" s="6"/>
      <c r="J63" s="15"/>
      <c r="K63" s="15"/>
      <c r="L63" s="15"/>
      <c r="M63" s="15"/>
      <c r="N63" s="6" t="s">
        <v>41</v>
      </c>
      <c r="O63" s="6" t="s">
        <v>63</v>
      </c>
      <c r="P63" s="16"/>
      <c r="Q63" s="16"/>
      <c r="R63" s="6"/>
      <c r="S63" s="6" t="s">
        <v>48</v>
      </c>
      <c r="T63" s="6" t="s">
        <v>48</v>
      </c>
      <c r="U63" s="15"/>
      <c r="V63" s="6"/>
      <c r="W63" s="6" t="s">
        <v>102</v>
      </c>
      <c r="X63" s="6" t="s">
        <v>45</v>
      </c>
      <c r="Y63" s="14">
        <v>7</v>
      </c>
    </row>
    <row r="64" spans="1:25" x14ac:dyDescent="0.25">
      <c r="A64" s="14" t="s">
        <v>270</v>
      </c>
      <c r="B64" s="25" t="s">
        <v>271</v>
      </c>
      <c r="C64" s="14" t="s">
        <v>29</v>
      </c>
      <c r="D64" s="14" t="s">
        <v>44</v>
      </c>
      <c r="E64" s="24" t="s">
        <v>441</v>
      </c>
      <c r="F64" s="14" t="s">
        <v>272</v>
      </c>
      <c r="G64" s="6"/>
      <c r="H64" s="6"/>
      <c r="I64" s="6"/>
      <c r="J64" s="15"/>
      <c r="K64" s="15"/>
      <c r="L64" s="15"/>
      <c r="M64" s="15"/>
      <c r="N64" s="6" t="s">
        <v>41</v>
      </c>
      <c r="O64" s="6" t="s">
        <v>63</v>
      </c>
      <c r="P64" s="16"/>
      <c r="Q64" s="16"/>
      <c r="R64" s="6"/>
      <c r="S64" s="6" t="s">
        <v>48</v>
      </c>
      <c r="T64" s="6" t="s">
        <v>48</v>
      </c>
      <c r="U64" s="15"/>
      <c r="V64" s="6"/>
      <c r="W64" s="6" t="s">
        <v>102</v>
      </c>
      <c r="X64" s="6" t="s">
        <v>45</v>
      </c>
      <c r="Y64" s="14">
        <v>7</v>
      </c>
    </row>
    <row r="65" spans="1:25" x14ac:dyDescent="0.25">
      <c r="A65" s="14" t="s">
        <v>273</v>
      </c>
      <c r="B65" s="14" t="s">
        <v>274</v>
      </c>
      <c r="C65" s="14" t="s">
        <v>30</v>
      </c>
      <c r="D65" s="14" t="s">
        <v>49</v>
      </c>
      <c r="E65" s="24" t="s">
        <v>442</v>
      </c>
      <c r="F65" s="14" t="s">
        <v>275</v>
      </c>
      <c r="G65" s="6"/>
      <c r="H65" s="6"/>
      <c r="I65" s="6"/>
      <c r="J65" s="15"/>
      <c r="K65" s="15"/>
      <c r="L65" s="15"/>
      <c r="M65" s="15"/>
      <c r="N65" s="6" t="s">
        <v>41</v>
      </c>
      <c r="O65" s="6" t="s">
        <v>63</v>
      </c>
      <c r="P65" s="16"/>
      <c r="Q65" s="16"/>
      <c r="R65" s="6"/>
      <c r="S65" s="6" t="s">
        <v>48</v>
      </c>
      <c r="T65" s="6" t="s">
        <v>48</v>
      </c>
      <c r="U65" s="15"/>
      <c r="V65" s="6"/>
      <c r="W65" s="6" t="s">
        <v>102</v>
      </c>
      <c r="X65" s="6" t="s">
        <v>45</v>
      </c>
      <c r="Y65" s="14">
        <v>8</v>
      </c>
    </row>
    <row r="66" spans="1:25" x14ac:dyDescent="0.25">
      <c r="A66" s="14" t="s">
        <v>276</v>
      </c>
      <c r="B66" s="14" t="s">
        <v>277</v>
      </c>
      <c r="C66" s="14" t="s">
        <v>30</v>
      </c>
      <c r="D66" s="14" t="s">
        <v>49</v>
      </c>
      <c r="E66" s="24" t="s">
        <v>443</v>
      </c>
      <c r="F66" s="14" t="s">
        <v>278</v>
      </c>
      <c r="G66" s="6"/>
      <c r="H66" s="6"/>
      <c r="I66" s="6"/>
      <c r="J66" s="15"/>
      <c r="K66" s="15"/>
      <c r="L66" s="15"/>
      <c r="M66" s="15"/>
      <c r="N66" s="6" t="s">
        <v>41</v>
      </c>
      <c r="O66" s="6" t="s">
        <v>63</v>
      </c>
      <c r="P66" s="16"/>
      <c r="Q66" s="16"/>
      <c r="R66" s="6"/>
      <c r="S66" s="6" t="s">
        <v>48</v>
      </c>
      <c r="T66" s="6" t="s">
        <v>48</v>
      </c>
      <c r="U66" s="15"/>
      <c r="V66" s="6"/>
      <c r="W66" s="6" t="s">
        <v>102</v>
      </c>
      <c r="X66" s="6" t="s">
        <v>45</v>
      </c>
      <c r="Y66" s="14">
        <v>7</v>
      </c>
    </row>
    <row r="67" spans="1:25" x14ac:dyDescent="0.25">
      <c r="A67" s="14" t="s">
        <v>279</v>
      </c>
      <c r="B67" s="14" t="s">
        <v>280</v>
      </c>
      <c r="C67" s="14" t="s">
        <v>30</v>
      </c>
      <c r="D67" s="14" t="s">
        <v>49</v>
      </c>
      <c r="E67" s="24" t="s">
        <v>444</v>
      </c>
      <c r="F67" s="14" t="s">
        <v>281</v>
      </c>
      <c r="G67" s="6"/>
      <c r="H67" s="6"/>
      <c r="I67" s="6"/>
      <c r="J67" s="15"/>
      <c r="K67" s="15"/>
      <c r="L67" s="15"/>
      <c r="M67" s="15"/>
      <c r="N67" s="6" t="s">
        <v>41</v>
      </c>
      <c r="O67" s="6" t="s">
        <v>63</v>
      </c>
      <c r="P67" s="16"/>
      <c r="Q67" s="16"/>
      <c r="R67" s="6"/>
      <c r="S67" s="6" t="s">
        <v>48</v>
      </c>
      <c r="T67" s="6" t="s">
        <v>48</v>
      </c>
      <c r="U67" s="15"/>
      <c r="V67" s="6"/>
      <c r="W67" s="6" t="s">
        <v>102</v>
      </c>
      <c r="X67" s="6" t="s">
        <v>45</v>
      </c>
      <c r="Y67" s="14">
        <v>7</v>
      </c>
    </row>
    <row r="68" spans="1:25" x14ac:dyDescent="0.25">
      <c r="A68" s="14" t="s">
        <v>282</v>
      </c>
      <c r="B68" s="14" t="s">
        <v>283</v>
      </c>
      <c r="C68" s="14" t="s">
        <v>30</v>
      </c>
      <c r="D68" s="14" t="s">
        <v>49</v>
      </c>
      <c r="E68" s="24" t="s">
        <v>445</v>
      </c>
      <c r="F68" s="14" t="s">
        <v>284</v>
      </c>
      <c r="G68" s="6"/>
      <c r="H68" s="6"/>
      <c r="I68" s="6"/>
      <c r="J68" s="15"/>
      <c r="K68" s="15"/>
      <c r="L68" s="15"/>
      <c r="M68" s="15"/>
      <c r="N68" s="6" t="s">
        <v>41</v>
      </c>
      <c r="O68" s="6" t="s">
        <v>63</v>
      </c>
      <c r="P68" s="16"/>
      <c r="Q68" s="16"/>
      <c r="R68" s="6"/>
      <c r="S68" s="6" t="s">
        <v>48</v>
      </c>
      <c r="T68" s="6" t="s">
        <v>48</v>
      </c>
      <c r="U68" s="15"/>
      <c r="V68" s="6"/>
      <c r="W68" s="6" t="s">
        <v>102</v>
      </c>
      <c r="X68" s="6" t="s">
        <v>45</v>
      </c>
      <c r="Y68" s="14">
        <v>7</v>
      </c>
    </row>
    <row r="69" spans="1:25" x14ac:dyDescent="0.25">
      <c r="A69" s="14" t="s">
        <v>285</v>
      </c>
      <c r="B69" s="14" t="s">
        <v>286</v>
      </c>
      <c r="C69" s="14" t="s">
        <v>31</v>
      </c>
      <c r="D69" s="14" t="s">
        <v>53</v>
      </c>
      <c r="E69" s="24" t="s">
        <v>446</v>
      </c>
      <c r="F69" s="14" t="s">
        <v>287</v>
      </c>
      <c r="G69" s="6"/>
      <c r="H69" s="6"/>
      <c r="I69" s="6"/>
      <c r="J69" s="15"/>
      <c r="K69" s="15"/>
      <c r="L69" s="15"/>
      <c r="M69" s="15"/>
      <c r="N69" s="6" t="s">
        <v>41</v>
      </c>
      <c r="O69" s="6" t="s">
        <v>63</v>
      </c>
      <c r="P69" s="16"/>
      <c r="Q69" s="16"/>
      <c r="R69" s="6"/>
      <c r="S69" s="6" t="s">
        <v>48</v>
      </c>
      <c r="T69" s="6" t="s">
        <v>48</v>
      </c>
      <c r="U69" s="15"/>
      <c r="V69" s="6"/>
      <c r="W69" s="6" t="s">
        <v>102</v>
      </c>
      <c r="X69" s="6" t="s">
        <v>45</v>
      </c>
      <c r="Y69" s="14">
        <v>8</v>
      </c>
    </row>
    <row r="70" spans="1:25" x14ac:dyDescent="0.25">
      <c r="A70" s="14" t="s">
        <v>288</v>
      </c>
      <c r="B70" s="14" t="s">
        <v>289</v>
      </c>
      <c r="C70" s="14" t="s">
        <v>31</v>
      </c>
      <c r="D70" s="14" t="s">
        <v>53</v>
      </c>
      <c r="E70" s="24" t="s">
        <v>447</v>
      </c>
      <c r="F70" s="14" t="s">
        <v>287</v>
      </c>
      <c r="G70" s="6"/>
      <c r="H70" s="6"/>
      <c r="I70" s="6"/>
      <c r="J70" s="15"/>
      <c r="K70" s="15"/>
      <c r="L70" s="15"/>
      <c r="M70" s="15"/>
      <c r="N70" s="6" t="s">
        <v>41</v>
      </c>
      <c r="O70" s="6" t="s">
        <v>63</v>
      </c>
      <c r="P70" s="16"/>
      <c r="Q70" s="16"/>
      <c r="R70" s="6"/>
      <c r="S70" s="6" t="s">
        <v>48</v>
      </c>
      <c r="T70" s="6" t="s">
        <v>48</v>
      </c>
      <c r="U70" s="15"/>
      <c r="V70" s="6"/>
      <c r="W70" s="6" t="s">
        <v>102</v>
      </c>
      <c r="X70" s="6" t="s">
        <v>45</v>
      </c>
      <c r="Y70" s="14">
        <v>6</v>
      </c>
    </row>
    <row r="71" spans="1:25" x14ac:dyDescent="0.25">
      <c r="A71" s="14" t="s">
        <v>290</v>
      </c>
      <c r="B71" s="14" t="s">
        <v>291</v>
      </c>
      <c r="C71" s="14" t="s">
        <v>31</v>
      </c>
      <c r="D71" s="14" t="s">
        <v>49</v>
      </c>
      <c r="E71" s="24" t="s">
        <v>448</v>
      </c>
      <c r="F71" s="14" t="s">
        <v>292</v>
      </c>
      <c r="G71" s="6"/>
      <c r="H71" s="6"/>
      <c r="I71" s="6"/>
      <c r="J71" s="15"/>
      <c r="K71" s="15"/>
      <c r="L71" s="15"/>
      <c r="M71" s="15"/>
      <c r="N71" s="6" t="s">
        <v>41</v>
      </c>
      <c r="O71" s="6" t="s">
        <v>63</v>
      </c>
      <c r="P71" s="16"/>
      <c r="Q71" s="16"/>
      <c r="R71" s="6"/>
      <c r="S71" s="6" t="s">
        <v>48</v>
      </c>
      <c r="T71" s="6" t="s">
        <v>48</v>
      </c>
      <c r="U71" s="15"/>
      <c r="V71" s="6"/>
      <c r="W71" s="6" t="s">
        <v>102</v>
      </c>
      <c r="X71" s="6" t="s">
        <v>45</v>
      </c>
      <c r="Y71" s="14">
        <v>7</v>
      </c>
    </row>
    <row r="72" spans="1:25" x14ac:dyDescent="0.25">
      <c r="A72" s="14" t="s">
        <v>293</v>
      </c>
      <c r="B72" s="14" t="s">
        <v>294</v>
      </c>
      <c r="C72" s="14" t="s">
        <v>31</v>
      </c>
      <c r="D72" s="14" t="s">
        <v>49</v>
      </c>
      <c r="E72" s="24" t="s">
        <v>449</v>
      </c>
      <c r="F72" s="14" t="s">
        <v>295</v>
      </c>
      <c r="G72" s="6"/>
      <c r="H72" s="6"/>
      <c r="I72" s="6"/>
      <c r="J72" s="15"/>
      <c r="K72" s="15"/>
      <c r="L72" s="15"/>
      <c r="M72" s="15"/>
      <c r="N72" s="6" t="s">
        <v>41</v>
      </c>
      <c r="O72" s="6" t="s">
        <v>63</v>
      </c>
      <c r="P72" s="16"/>
      <c r="Q72" s="16"/>
      <c r="R72" s="6"/>
      <c r="S72" s="6" t="s">
        <v>48</v>
      </c>
      <c r="T72" s="6" t="s">
        <v>48</v>
      </c>
      <c r="U72" s="15"/>
      <c r="V72" s="6"/>
      <c r="W72" s="6" t="s">
        <v>102</v>
      </c>
      <c r="X72" s="6" t="s">
        <v>45</v>
      </c>
      <c r="Y72" s="14">
        <v>8</v>
      </c>
    </row>
    <row r="73" spans="1:25" x14ac:dyDescent="0.25">
      <c r="A73" s="14" t="s">
        <v>296</v>
      </c>
      <c r="B73" s="14" t="s">
        <v>297</v>
      </c>
      <c r="C73" s="14" t="s">
        <v>31</v>
      </c>
      <c r="D73" s="14" t="s">
        <v>49</v>
      </c>
      <c r="E73" s="24" t="s">
        <v>450</v>
      </c>
      <c r="F73" s="14" t="s">
        <v>298</v>
      </c>
      <c r="G73" s="6"/>
      <c r="H73" s="6"/>
      <c r="I73" s="6"/>
      <c r="J73" s="15"/>
      <c r="K73" s="15"/>
      <c r="L73" s="15"/>
      <c r="M73" s="15"/>
      <c r="N73" s="6" t="s">
        <v>41</v>
      </c>
      <c r="O73" s="6" t="s">
        <v>63</v>
      </c>
      <c r="P73" s="16"/>
      <c r="Q73" s="16"/>
      <c r="R73" s="6"/>
      <c r="S73" s="6" t="s">
        <v>48</v>
      </c>
      <c r="T73" s="6" t="s">
        <v>48</v>
      </c>
      <c r="U73" s="15"/>
      <c r="V73" s="6"/>
      <c r="W73" s="6" t="s">
        <v>102</v>
      </c>
      <c r="X73" s="6" t="s">
        <v>45</v>
      </c>
      <c r="Y73" s="14">
        <v>6</v>
      </c>
    </row>
    <row r="74" spans="1:25" x14ac:dyDescent="0.25">
      <c r="A74" s="14" t="s">
        <v>299</v>
      </c>
      <c r="B74" s="14" t="s">
        <v>300</v>
      </c>
      <c r="C74" s="14" t="s">
        <v>32</v>
      </c>
      <c r="D74" s="14" t="s">
        <v>53</v>
      </c>
      <c r="E74" s="24" t="s">
        <v>451</v>
      </c>
      <c r="F74" s="14" t="s">
        <v>301</v>
      </c>
      <c r="G74" s="6"/>
      <c r="H74" s="6"/>
      <c r="I74" s="6"/>
      <c r="J74" s="15"/>
      <c r="K74" s="15"/>
      <c r="L74" s="15"/>
      <c r="M74" s="15"/>
      <c r="N74" s="6" t="s">
        <v>41</v>
      </c>
      <c r="O74" s="6" t="s">
        <v>63</v>
      </c>
      <c r="P74" s="16"/>
      <c r="Q74" s="16"/>
      <c r="R74" s="6"/>
      <c r="S74" s="6" t="s">
        <v>48</v>
      </c>
      <c r="T74" s="6" t="s">
        <v>48</v>
      </c>
      <c r="U74" s="15"/>
      <c r="V74" s="6"/>
      <c r="W74" s="6" t="s">
        <v>102</v>
      </c>
      <c r="X74" s="6" t="s">
        <v>45</v>
      </c>
      <c r="Y74" s="14">
        <v>7</v>
      </c>
    </row>
    <row r="75" spans="1:25" x14ac:dyDescent="0.25">
      <c r="A75" s="14" t="s">
        <v>302</v>
      </c>
      <c r="B75" s="14" t="s">
        <v>303</v>
      </c>
      <c r="C75" s="14" t="s">
        <v>34</v>
      </c>
      <c r="D75" s="14" t="s">
        <v>49</v>
      </c>
      <c r="E75" s="24" t="s">
        <v>452</v>
      </c>
      <c r="F75" s="14" t="s">
        <v>304</v>
      </c>
      <c r="G75" s="6"/>
      <c r="H75" s="6"/>
      <c r="I75" s="6"/>
      <c r="J75" s="15"/>
      <c r="K75" s="15"/>
      <c r="L75" s="15"/>
      <c r="M75" s="15"/>
      <c r="N75" s="6" t="s">
        <v>41</v>
      </c>
      <c r="O75" s="6" t="s">
        <v>63</v>
      </c>
      <c r="P75" s="16"/>
      <c r="Q75" s="16"/>
      <c r="R75" s="6"/>
      <c r="S75" s="6" t="s">
        <v>48</v>
      </c>
      <c r="T75" s="6" t="s">
        <v>48</v>
      </c>
      <c r="U75" s="15"/>
      <c r="V75" s="6"/>
      <c r="W75" s="6" t="s">
        <v>102</v>
      </c>
      <c r="X75" s="6" t="s">
        <v>45</v>
      </c>
      <c r="Y75" s="14">
        <v>7</v>
      </c>
    </row>
    <row r="76" spans="1:25" x14ac:dyDescent="0.25">
      <c r="A76" s="14" t="s">
        <v>305</v>
      </c>
      <c r="B76" s="14" t="s">
        <v>306</v>
      </c>
      <c r="C76" s="14" t="s">
        <v>34</v>
      </c>
      <c r="D76" s="14" t="s">
        <v>49</v>
      </c>
      <c r="E76" s="24" t="s">
        <v>453</v>
      </c>
      <c r="F76" s="14" t="s">
        <v>307</v>
      </c>
      <c r="G76" s="6"/>
      <c r="H76" s="6"/>
      <c r="I76" s="6"/>
      <c r="J76" s="15"/>
      <c r="K76" s="15"/>
      <c r="L76" s="15"/>
      <c r="M76" s="15"/>
      <c r="N76" s="6" t="s">
        <v>41</v>
      </c>
      <c r="O76" s="6" t="s">
        <v>63</v>
      </c>
      <c r="P76" s="16"/>
      <c r="Q76" s="16"/>
      <c r="R76" s="6"/>
      <c r="S76" s="6" t="s">
        <v>48</v>
      </c>
      <c r="T76" s="6" t="s">
        <v>48</v>
      </c>
      <c r="U76" s="15"/>
      <c r="V76" s="6"/>
      <c r="W76" s="6" t="s">
        <v>102</v>
      </c>
      <c r="X76" s="6" t="s">
        <v>45</v>
      </c>
      <c r="Y76" s="14">
        <v>7</v>
      </c>
    </row>
    <row r="77" spans="1:25" x14ac:dyDescent="0.25">
      <c r="A77" s="14" t="s">
        <v>308</v>
      </c>
      <c r="B77" s="14" t="s">
        <v>309</v>
      </c>
      <c r="C77" s="14" t="s">
        <v>34</v>
      </c>
      <c r="D77" s="14" t="s">
        <v>49</v>
      </c>
      <c r="E77" s="24" t="s">
        <v>454</v>
      </c>
      <c r="F77" s="14" t="s">
        <v>310</v>
      </c>
      <c r="G77" s="6"/>
      <c r="H77" s="6"/>
      <c r="I77" s="6"/>
      <c r="J77" s="15"/>
      <c r="K77" s="15"/>
      <c r="L77" s="15"/>
      <c r="M77" s="15"/>
      <c r="N77" s="6" t="s">
        <v>41</v>
      </c>
      <c r="O77" s="6" t="s">
        <v>63</v>
      </c>
      <c r="P77" s="16"/>
      <c r="Q77" s="16"/>
      <c r="R77" s="6"/>
      <c r="S77" s="6" t="s">
        <v>48</v>
      </c>
      <c r="T77" s="6" t="s">
        <v>48</v>
      </c>
      <c r="U77" s="15"/>
      <c r="V77" s="6"/>
      <c r="W77" s="6" t="s">
        <v>102</v>
      </c>
      <c r="X77" s="6" t="s">
        <v>45</v>
      </c>
      <c r="Y77" s="14">
        <v>8</v>
      </c>
    </row>
    <row r="78" spans="1:25" x14ac:dyDescent="0.25">
      <c r="A78" s="1" t="s">
        <v>311</v>
      </c>
      <c r="B78" s="6"/>
      <c r="C78" s="6"/>
      <c r="D78" s="6"/>
      <c r="E78" s="6"/>
      <c r="F78" s="6"/>
      <c r="G78" s="6"/>
      <c r="H78" s="6"/>
      <c r="I78" s="6"/>
      <c r="J78" s="15"/>
      <c r="K78" s="15"/>
      <c r="L78" s="15"/>
      <c r="M78" s="15"/>
      <c r="N78" s="6" t="s">
        <v>41</v>
      </c>
      <c r="O78" s="6" t="s">
        <v>63</v>
      </c>
      <c r="P78" s="16"/>
      <c r="Q78" s="16"/>
      <c r="R78" s="6"/>
      <c r="S78" s="6" t="s">
        <v>48</v>
      </c>
      <c r="T78" s="6" t="s">
        <v>48</v>
      </c>
      <c r="U78" s="15"/>
      <c r="V78" s="6"/>
      <c r="W78" s="6"/>
      <c r="X78" s="6" t="s">
        <v>45</v>
      </c>
      <c r="Y78" s="6"/>
    </row>
    <row r="79" spans="1:25" x14ac:dyDescent="0.25">
      <c r="A79" s="1" t="s">
        <v>312</v>
      </c>
      <c r="B79" s="6"/>
      <c r="C79" s="6"/>
      <c r="D79" s="6"/>
      <c r="E79" s="6"/>
      <c r="F79" s="6"/>
      <c r="G79" s="6"/>
      <c r="H79" s="6"/>
      <c r="I79" s="6"/>
      <c r="J79" s="15"/>
      <c r="K79" s="15"/>
      <c r="L79" s="15"/>
      <c r="M79" s="15"/>
      <c r="N79" s="6" t="s">
        <v>41</v>
      </c>
      <c r="O79" s="6" t="s">
        <v>63</v>
      </c>
      <c r="P79" s="16"/>
      <c r="Q79" s="16"/>
      <c r="R79" s="6"/>
      <c r="S79" s="6" t="s">
        <v>48</v>
      </c>
      <c r="T79" s="6" t="s">
        <v>48</v>
      </c>
      <c r="U79" s="15"/>
      <c r="V79" s="6"/>
      <c r="W79" s="6"/>
      <c r="X79" s="6" t="s">
        <v>45</v>
      </c>
      <c r="Y79" s="6"/>
    </row>
    <row r="80" spans="1:25" x14ac:dyDescent="0.25">
      <c r="A80" s="1" t="s">
        <v>313</v>
      </c>
      <c r="B80" s="6"/>
      <c r="C80" s="6"/>
      <c r="D80" s="6"/>
      <c r="E80" s="6"/>
      <c r="F80" s="6"/>
      <c r="G80" s="6"/>
      <c r="H80" s="6"/>
      <c r="I80" s="6"/>
      <c r="J80" s="15"/>
      <c r="K80" s="15"/>
      <c r="L80" s="15"/>
      <c r="M80" s="15"/>
      <c r="N80" s="6" t="s">
        <v>41</v>
      </c>
      <c r="O80" s="6" t="s">
        <v>63</v>
      </c>
      <c r="P80" s="16"/>
      <c r="Q80" s="16"/>
      <c r="R80" s="6"/>
      <c r="S80" s="6" t="s">
        <v>48</v>
      </c>
      <c r="T80" s="6" t="s">
        <v>48</v>
      </c>
      <c r="U80" s="15"/>
      <c r="V80" s="6"/>
      <c r="W80" s="6"/>
      <c r="X80" s="6" t="s">
        <v>45</v>
      </c>
      <c r="Y80" s="6"/>
    </row>
    <row r="81" spans="1:25" x14ac:dyDescent="0.25">
      <c r="A81" s="1" t="s">
        <v>314</v>
      </c>
      <c r="B81" s="6"/>
      <c r="C81" s="6"/>
      <c r="D81" s="6"/>
      <c r="E81" s="6"/>
      <c r="F81" s="6"/>
      <c r="G81" s="6"/>
      <c r="H81" s="6"/>
      <c r="I81" s="6"/>
      <c r="J81" s="15"/>
      <c r="K81" s="15"/>
      <c r="L81" s="15"/>
      <c r="M81" s="15"/>
      <c r="N81" s="6" t="s">
        <v>41</v>
      </c>
      <c r="O81" s="6" t="s">
        <v>63</v>
      </c>
      <c r="P81" s="16"/>
      <c r="Q81" s="16"/>
      <c r="R81" s="6"/>
      <c r="S81" s="6" t="s">
        <v>48</v>
      </c>
      <c r="T81" s="6" t="s">
        <v>48</v>
      </c>
      <c r="U81" s="15"/>
      <c r="V81" s="6"/>
      <c r="W81" s="6"/>
      <c r="X81" s="6" t="s">
        <v>45</v>
      </c>
      <c r="Y81" s="6"/>
    </row>
    <row r="82" spans="1:25" x14ac:dyDescent="0.25">
      <c r="A82" s="1" t="s">
        <v>315</v>
      </c>
      <c r="B82" s="6"/>
      <c r="C82" s="6"/>
      <c r="D82" s="6"/>
      <c r="E82" s="6"/>
      <c r="F82" s="6"/>
      <c r="G82" s="6"/>
      <c r="H82" s="6"/>
      <c r="I82" s="6"/>
      <c r="J82" s="15"/>
      <c r="K82" s="15"/>
      <c r="L82" s="15"/>
      <c r="M82" s="15"/>
      <c r="N82" s="6" t="s">
        <v>41</v>
      </c>
      <c r="O82" s="6" t="s">
        <v>63</v>
      </c>
      <c r="P82" s="16"/>
      <c r="Q82" s="16"/>
      <c r="R82" s="6"/>
      <c r="S82" s="6" t="s">
        <v>48</v>
      </c>
      <c r="T82" s="6" t="s">
        <v>48</v>
      </c>
      <c r="U82" s="15"/>
      <c r="V82" s="6"/>
      <c r="W82" s="6"/>
      <c r="X82" s="6" t="s">
        <v>45</v>
      </c>
      <c r="Y82" s="6"/>
    </row>
    <row r="83" spans="1:25" x14ac:dyDescent="0.25">
      <c r="A83" s="1" t="s">
        <v>316</v>
      </c>
      <c r="B83" s="6"/>
      <c r="C83" s="6"/>
      <c r="D83" s="6"/>
      <c r="E83" s="6"/>
      <c r="F83" s="6"/>
      <c r="G83" s="6"/>
      <c r="H83" s="6"/>
      <c r="I83" s="6"/>
      <c r="J83" s="15"/>
      <c r="K83" s="15"/>
      <c r="L83" s="15"/>
      <c r="M83" s="15"/>
      <c r="N83" s="6" t="s">
        <v>41</v>
      </c>
      <c r="O83" s="6" t="s">
        <v>63</v>
      </c>
      <c r="P83" s="16"/>
      <c r="Q83" s="16"/>
      <c r="R83" s="6"/>
      <c r="S83" s="6" t="s">
        <v>48</v>
      </c>
      <c r="T83" s="6" t="s">
        <v>48</v>
      </c>
      <c r="U83" s="15"/>
      <c r="V83" s="6"/>
      <c r="W83" s="6"/>
      <c r="X83" s="6" t="s">
        <v>45</v>
      </c>
      <c r="Y83" s="6"/>
    </row>
    <row r="84" spans="1:25" x14ac:dyDescent="0.25">
      <c r="A84" s="1" t="s">
        <v>317</v>
      </c>
      <c r="B84" s="6"/>
      <c r="C84" s="6"/>
      <c r="D84" s="6"/>
      <c r="E84" s="6"/>
      <c r="F84" s="6"/>
      <c r="G84" s="6"/>
      <c r="H84" s="6"/>
      <c r="I84" s="6"/>
      <c r="J84" s="15"/>
      <c r="K84" s="15"/>
      <c r="L84" s="15"/>
      <c r="M84" s="15"/>
      <c r="N84" s="6" t="s">
        <v>41</v>
      </c>
      <c r="O84" s="6" t="s">
        <v>63</v>
      </c>
      <c r="P84" s="16"/>
      <c r="Q84" s="16"/>
      <c r="R84" s="6"/>
      <c r="S84" s="6" t="s">
        <v>48</v>
      </c>
      <c r="T84" s="6" t="s">
        <v>48</v>
      </c>
      <c r="U84" s="15"/>
      <c r="V84" s="6"/>
      <c r="W84" s="6"/>
      <c r="X84" s="6" t="s">
        <v>45</v>
      </c>
      <c r="Y84" s="6"/>
    </row>
    <row r="85" spans="1:25" x14ac:dyDescent="0.25">
      <c r="A85" s="1" t="s">
        <v>318</v>
      </c>
      <c r="B85" s="6"/>
      <c r="C85" s="6"/>
      <c r="D85" s="6"/>
      <c r="E85" s="6"/>
      <c r="F85" s="6"/>
      <c r="G85" s="6"/>
      <c r="H85" s="6"/>
      <c r="I85" s="6"/>
      <c r="J85" s="15"/>
      <c r="K85" s="15"/>
      <c r="L85" s="15"/>
      <c r="M85" s="15"/>
      <c r="N85" s="6" t="s">
        <v>41</v>
      </c>
      <c r="O85" s="6" t="s">
        <v>63</v>
      </c>
      <c r="P85" s="16"/>
      <c r="Q85" s="16"/>
      <c r="R85" s="6"/>
      <c r="S85" s="6" t="s">
        <v>48</v>
      </c>
      <c r="T85" s="6" t="s">
        <v>48</v>
      </c>
      <c r="U85" s="15"/>
      <c r="V85" s="6"/>
      <c r="W85" s="6"/>
      <c r="X85" s="6" t="s">
        <v>45</v>
      </c>
      <c r="Y85" s="6"/>
    </row>
    <row r="86" spans="1:25" x14ac:dyDescent="0.25">
      <c r="A86" s="1" t="s">
        <v>319</v>
      </c>
      <c r="B86" s="6"/>
      <c r="C86" s="6"/>
      <c r="D86" s="6"/>
      <c r="E86" s="6"/>
      <c r="F86" s="6"/>
      <c r="G86" s="6"/>
      <c r="H86" s="6"/>
      <c r="I86" s="6"/>
      <c r="J86" s="15"/>
      <c r="K86" s="15"/>
      <c r="L86" s="15"/>
      <c r="M86" s="15"/>
      <c r="N86" s="6" t="s">
        <v>41</v>
      </c>
      <c r="O86" s="6" t="s">
        <v>63</v>
      </c>
      <c r="P86" s="16"/>
      <c r="Q86" s="16"/>
      <c r="R86" s="6"/>
      <c r="S86" s="6" t="s">
        <v>48</v>
      </c>
      <c r="T86" s="6" t="s">
        <v>48</v>
      </c>
      <c r="U86" s="15"/>
      <c r="V86" s="6"/>
      <c r="W86" s="6"/>
      <c r="X86" s="6" t="s">
        <v>45</v>
      </c>
      <c r="Y86" s="6"/>
    </row>
    <row r="87" spans="1:25" x14ac:dyDescent="0.25">
      <c r="A87" s="1" t="s">
        <v>320</v>
      </c>
      <c r="B87" s="6"/>
      <c r="C87" s="6"/>
      <c r="D87" s="6"/>
      <c r="E87" s="6"/>
      <c r="F87" s="6"/>
      <c r="G87" s="6"/>
      <c r="H87" s="6"/>
      <c r="I87" s="6"/>
      <c r="J87" s="15"/>
      <c r="K87" s="15"/>
      <c r="L87" s="15"/>
      <c r="M87" s="15"/>
      <c r="N87" s="6" t="s">
        <v>41</v>
      </c>
      <c r="O87" s="6" t="s">
        <v>63</v>
      </c>
      <c r="P87" s="16"/>
      <c r="Q87" s="16"/>
      <c r="R87" s="6"/>
      <c r="S87" s="6" t="s">
        <v>48</v>
      </c>
      <c r="T87" s="6" t="s">
        <v>48</v>
      </c>
      <c r="U87" s="15"/>
      <c r="V87" s="6"/>
      <c r="W87" s="6"/>
      <c r="X87" s="6" t="s">
        <v>45</v>
      </c>
      <c r="Y87" s="6"/>
    </row>
    <row r="88" spans="1:25" x14ac:dyDescent="0.25">
      <c r="A88" s="1" t="s">
        <v>321</v>
      </c>
      <c r="B88" s="6"/>
      <c r="C88" s="6"/>
      <c r="D88" s="6"/>
      <c r="E88" s="6"/>
      <c r="F88" s="6"/>
      <c r="G88" s="6"/>
      <c r="H88" s="6"/>
      <c r="I88" s="6"/>
      <c r="J88" s="15"/>
      <c r="K88" s="15"/>
      <c r="L88" s="15"/>
      <c r="M88" s="15"/>
      <c r="N88" s="6" t="s">
        <v>41</v>
      </c>
      <c r="O88" s="6" t="s">
        <v>63</v>
      </c>
      <c r="P88" s="16"/>
      <c r="Q88" s="16"/>
      <c r="R88" s="6"/>
      <c r="S88" s="6" t="s">
        <v>48</v>
      </c>
      <c r="T88" s="6" t="s">
        <v>48</v>
      </c>
      <c r="U88" s="15"/>
      <c r="V88" s="6"/>
      <c r="W88" s="6"/>
      <c r="X88" s="6" t="s">
        <v>45</v>
      </c>
      <c r="Y88" s="6"/>
    </row>
    <row r="89" spans="1:25" x14ac:dyDescent="0.25">
      <c r="A89" s="1" t="s">
        <v>322</v>
      </c>
      <c r="B89" s="6"/>
      <c r="C89" s="6"/>
      <c r="D89" s="6"/>
      <c r="E89" s="6"/>
      <c r="F89" s="6"/>
      <c r="G89" s="6"/>
      <c r="H89" s="6"/>
      <c r="I89" s="6"/>
      <c r="J89" s="15"/>
      <c r="K89" s="15"/>
      <c r="L89" s="15"/>
      <c r="M89" s="15"/>
      <c r="N89" s="6" t="s">
        <v>41</v>
      </c>
      <c r="O89" s="6" t="s">
        <v>63</v>
      </c>
      <c r="P89" s="16"/>
      <c r="Q89" s="16"/>
      <c r="R89" s="6"/>
      <c r="S89" s="6" t="s">
        <v>48</v>
      </c>
      <c r="T89" s="6" t="s">
        <v>48</v>
      </c>
      <c r="U89" s="15"/>
      <c r="V89" s="6"/>
      <c r="W89" s="6"/>
      <c r="X89" s="6" t="s">
        <v>45</v>
      </c>
      <c r="Y89" s="6"/>
    </row>
    <row r="90" spans="1:25" x14ac:dyDescent="0.25">
      <c r="A90" s="1" t="s">
        <v>323</v>
      </c>
      <c r="B90" s="6"/>
      <c r="C90" s="6"/>
      <c r="D90" s="6"/>
      <c r="E90" s="6"/>
      <c r="F90" s="6"/>
      <c r="G90" s="6"/>
      <c r="H90" s="6"/>
      <c r="I90" s="6"/>
      <c r="J90" s="15"/>
      <c r="K90" s="15"/>
      <c r="L90" s="15"/>
      <c r="M90" s="15"/>
      <c r="N90" s="6" t="s">
        <v>41</v>
      </c>
      <c r="O90" s="6" t="s">
        <v>63</v>
      </c>
      <c r="P90" s="16"/>
      <c r="Q90" s="16"/>
      <c r="R90" s="6"/>
      <c r="S90" s="6" t="s">
        <v>48</v>
      </c>
      <c r="T90" s="6" t="s">
        <v>48</v>
      </c>
      <c r="U90" s="15"/>
      <c r="V90" s="6"/>
      <c r="W90" s="6"/>
      <c r="X90" s="6" t="s">
        <v>45</v>
      </c>
      <c r="Y90" s="6"/>
    </row>
    <row r="91" spans="1:25" x14ac:dyDescent="0.25">
      <c r="A91" s="1" t="s">
        <v>324</v>
      </c>
      <c r="B91" s="6"/>
      <c r="C91" s="6"/>
      <c r="D91" s="6"/>
      <c r="E91" s="6"/>
      <c r="F91" s="6"/>
      <c r="G91" s="6"/>
      <c r="H91" s="6"/>
      <c r="I91" s="6"/>
      <c r="J91" s="15"/>
      <c r="K91" s="15"/>
      <c r="L91" s="15"/>
      <c r="M91" s="15"/>
      <c r="N91" s="6" t="s">
        <v>41</v>
      </c>
      <c r="O91" s="6" t="s">
        <v>63</v>
      </c>
      <c r="P91" s="16"/>
      <c r="Q91" s="16"/>
      <c r="R91" s="6"/>
      <c r="S91" s="6" t="s">
        <v>48</v>
      </c>
      <c r="T91" s="6" t="s">
        <v>48</v>
      </c>
      <c r="U91" s="15"/>
      <c r="V91" s="6"/>
      <c r="W91" s="6"/>
      <c r="X91" s="6" t="s">
        <v>45</v>
      </c>
      <c r="Y91" s="6"/>
    </row>
    <row r="92" spans="1:25" x14ac:dyDescent="0.25">
      <c r="A92" s="1" t="s">
        <v>325</v>
      </c>
      <c r="B92" s="6"/>
      <c r="C92" s="6"/>
      <c r="D92" s="6"/>
      <c r="E92" s="6"/>
      <c r="F92" s="6"/>
      <c r="G92" s="6"/>
      <c r="H92" s="6"/>
      <c r="I92" s="6"/>
      <c r="J92" s="15"/>
      <c r="K92" s="15"/>
      <c r="L92" s="15"/>
      <c r="M92" s="15"/>
      <c r="N92" s="6" t="s">
        <v>41</v>
      </c>
      <c r="O92" s="6" t="s">
        <v>63</v>
      </c>
      <c r="P92" s="16"/>
      <c r="Q92" s="16"/>
      <c r="R92" s="6"/>
      <c r="S92" s="6" t="s">
        <v>48</v>
      </c>
      <c r="T92" s="6" t="s">
        <v>48</v>
      </c>
      <c r="U92" s="15"/>
      <c r="V92" s="6"/>
      <c r="W92" s="6"/>
      <c r="X92" s="6" t="s">
        <v>45</v>
      </c>
      <c r="Y92" s="6"/>
    </row>
    <row r="93" spans="1:25" x14ac:dyDescent="0.25">
      <c r="A93" s="1" t="s">
        <v>326</v>
      </c>
      <c r="B93" s="6"/>
      <c r="C93" s="6"/>
      <c r="D93" s="6"/>
      <c r="E93" s="6"/>
      <c r="F93" s="6"/>
      <c r="G93" s="6"/>
      <c r="H93" s="6"/>
      <c r="I93" s="6"/>
      <c r="J93" s="15"/>
      <c r="K93" s="15"/>
      <c r="L93" s="15"/>
      <c r="M93" s="15"/>
      <c r="N93" s="6" t="s">
        <v>41</v>
      </c>
      <c r="O93" s="6" t="s">
        <v>63</v>
      </c>
      <c r="P93" s="16"/>
      <c r="Q93" s="16"/>
      <c r="R93" s="6"/>
      <c r="S93" s="6" t="s">
        <v>48</v>
      </c>
      <c r="T93" s="6" t="s">
        <v>48</v>
      </c>
      <c r="U93" s="15"/>
      <c r="V93" s="6"/>
      <c r="W93" s="6"/>
      <c r="X93" s="6" t="s">
        <v>45</v>
      </c>
      <c r="Y93" s="6"/>
    </row>
    <row r="94" spans="1:25" x14ac:dyDescent="0.25">
      <c r="A94" s="1" t="s">
        <v>327</v>
      </c>
      <c r="B94" s="6"/>
      <c r="C94" s="6"/>
      <c r="D94" s="6"/>
      <c r="E94" s="6"/>
      <c r="F94" s="6"/>
      <c r="G94" s="6"/>
      <c r="H94" s="6"/>
      <c r="I94" s="6"/>
      <c r="J94" s="15"/>
      <c r="K94" s="15"/>
      <c r="L94" s="15"/>
      <c r="M94" s="15"/>
      <c r="N94" s="6" t="s">
        <v>41</v>
      </c>
      <c r="O94" s="6" t="s">
        <v>63</v>
      </c>
      <c r="P94" s="16"/>
      <c r="Q94" s="16"/>
      <c r="R94" s="6"/>
      <c r="S94" s="6" t="s">
        <v>48</v>
      </c>
      <c r="T94" s="6" t="s">
        <v>48</v>
      </c>
      <c r="U94" s="15"/>
      <c r="V94" s="6"/>
      <c r="W94" s="6"/>
      <c r="X94" s="6" t="s">
        <v>45</v>
      </c>
      <c r="Y94" s="6"/>
    </row>
    <row r="95" spans="1:25" x14ac:dyDescent="0.25">
      <c r="A95" s="1" t="s">
        <v>328</v>
      </c>
      <c r="B95" s="6"/>
      <c r="C95" s="6"/>
      <c r="D95" s="6"/>
      <c r="E95" s="6"/>
      <c r="F95" s="6"/>
      <c r="G95" s="6"/>
      <c r="H95" s="6"/>
      <c r="I95" s="6"/>
      <c r="J95" s="15"/>
      <c r="K95" s="15"/>
      <c r="L95" s="15"/>
      <c r="M95" s="15"/>
      <c r="N95" s="6" t="s">
        <v>41</v>
      </c>
      <c r="O95" s="6" t="s">
        <v>63</v>
      </c>
      <c r="P95" s="16"/>
      <c r="Q95" s="16"/>
      <c r="R95" s="6"/>
      <c r="S95" s="6" t="s">
        <v>48</v>
      </c>
      <c r="T95" s="6" t="s">
        <v>48</v>
      </c>
      <c r="U95" s="15"/>
      <c r="V95" s="6"/>
      <c r="W95" s="6"/>
      <c r="X95" s="6" t="s">
        <v>45</v>
      </c>
      <c r="Y95" s="6"/>
    </row>
    <row r="96" spans="1:25" x14ac:dyDescent="0.25">
      <c r="A96" s="1" t="s">
        <v>329</v>
      </c>
      <c r="B96" s="6"/>
      <c r="C96" s="6"/>
      <c r="D96" s="6"/>
      <c r="E96" s="6"/>
      <c r="F96" s="6"/>
      <c r="G96" s="6"/>
      <c r="H96" s="6"/>
      <c r="I96" s="6"/>
      <c r="J96" s="15"/>
      <c r="K96" s="15"/>
      <c r="L96" s="15"/>
      <c r="M96" s="15"/>
      <c r="N96" s="6" t="s">
        <v>41</v>
      </c>
      <c r="O96" s="6" t="s">
        <v>63</v>
      </c>
      <c r="P96" s="16"/>
      <c r="Q96" s="16"/>
      <c r="R96" s="6"/>
      <c r="S96" s="6" t="s">
        <v>48</v>
      </c>
      <c r="T96" s="6" t="s">
        <v>48</v>
      </c>
      <c r="U96" s="15"/>
      <c r="V96" s="6"/>
      <c r="W96" s="6"/>
      <c r="X96" s="6" t="s">
        <v>45</v>
      </c>
      <c r="Y96" s="6"/>
    </row>
    <row r="97" spans="1:25" x14ac:dyDescent="0.25">
      <c r="A97" s="1" t="s">
        <v>330</v>
      </c>
      <c r="B97" s="6"/>
      <c r="C97" s="6"/>
      <c r="D97" s="6"/>
      <c r="E97" s="6"/>
      <c r="F97" s="6"/>
      <c r="G97" s="6"/>
      <c r="H97" s="6"/>
      <c r="I97" s="6"/>
      <c r="J97" s="15"/>
      <c r="K97" s="15"/>
      <c r="L97" s="15"/>
      <c r="M97" s="15"/>
      <c r="N97" s="6" t="s">
        <v>41</v>
      </c>
      <c r="O97" s="6" t="s">
        <v>63</v>
      </c>
      <c r="P97" s="16"/>
      <c r="Q97" s="16"/>
      <c r="R97" s="6"/>
      <c r="S97" s="6" t="s">
        <v>48</v>
      </c>
      <c r="T97" s="6" t="s">
        <v>48</v>
      </c>
      <c r="U97" s="15"/>
      <c r="V97" s="6"/>
      <c r="W97" s="6"/>
      <c r="X97" s="6" t="s">
        <v>45</v>
      </c>
      <c r="Y97" s="6"/>
    </row>
    <row r="98" spans="1:25" x14ac:dyDescent="0.25">
      <c r="A98" s="1" t="s">
        <v>331</v>
      </c>
      <c r="B98" s="6"/>
      <c r="C98" s="6"/>
      <c r="D98" s="6"/>
      <c r="E98" s="6"/>
      <c r="F98" s="6"/>
      <c r="G98" s="6"/>
      <c r="H98" s="6"/>
      <c r="I98" s="6"/>
      <c r="J98" s="15"/>
      <c r="K98" s="15"/>
      <c r="L98" s="15"/>
      <c r="M98" s="15"/>
      <c r="N98" s="6" t="s">
        <v>41</v>
      </c>
      <c r="O98" s="6" t="s">
        <v>63</v>
      </c>
      <c r="P98" s="16"/>
      <c r="Q98" s="16"/>
      <c r="R98" s="6"/>
      <c r="S98" s="6" t="s">
        <v>48</v>
      </c>
      <c r="T98" s="6" t="s">
        <v>48</v>
      </c>
      <c r="U98" s="15"/>
      <c r="V98" s="6"/>
      <c r="W98" s="6"/>
      <c r="X98" s="6" t="s">
        <v>45</v>
      </c>
      <c r="Y98" s="6"/>
    </row>
    <row r="99" spans="1:25" x14ac:dyDescent="0.25">
      <c r="A99" s="1" t="s">
        <v>332</v>
      </c>
      <c r="B99" s="6"/>
      <c r="C99" s="6"/>
      <c r="D99" s="6"/>
      <c r="E99" s="6"/>
      <c r="F99" s="6"/>
      <c r="G99" s="6"/>
      <c r="H99" s="6"/>
      <c r="I99" s="6"/>
      <c r="J99" s="15"/>
      <c r="K99" s="15"/>
      <c r="L99" s="15"/>
      <c r="M99" s="15"/>
      <c r="N99" s="6" t="s">
        <v>41</v>
      </c>
      <c r="O99" s="6" t="s">
        <v>63</v>
      </c>
      <c r="P99" s="16"/>
      <c r="Q99" s="16"/>
      <c r="R99" s="6"/>
      <c r="S99" s="6" t="s">
        <v>48</v>
      </c>
      <c r="T99" s="6" t="s">
        <v>48</v>
      </c>
      <c r="U99" s="15"/>
      <c r="V99" s="6"/>
      <c r="W99" s="6"/>
      <c r="X99" s="6" t="s">
        <v>45</v>
      </c>
      <c r="Y99" s="6"/>
    </row>
    <row r="100" spans="1:25" x14ac:dyDescent="0.25">
      <c r="A100" s="1" t="s">
        <v>333</v>
      </c>
      <c r="B100" s="6"/>
      <c r="C100" s="6"/>
      <c r="D100" s="6"/>
      <c r="E100" s="6"/>
      <c r="F100" s="6"/>
      <c r="G100" s="6"/>
      <c r="H100" s="6"/>
      <c r="I100" s="6"/>
      <c r="J100" s="15"/>
      <c r="K100" s="15"/>
      <c r="L100" s="15"/>
      <c r="M100" s="15"/>
      <c r="N100" s="6" t="s">
        <v>41</v>
      </c>
      <c r="O100" s="6" t="s">
        <v>63</v>
      </c>
      <c r="P100" s="16"/>
      <c r="Q100" s="16"/>
      <c r="R100" s="6"/>
      <c r="S100" s="6" t="s">
        <v>48</v>
      </c>
      <c r="T100" s="6" t="s">
        <v>48</v>
      </c>
      <c r="U100" s="15"/>
      <c r="V100" s="6"/>
      <c r="W100" s="6"/>
      <c r="X100" s="6" t="s">
        <v>45</v>
      </c>
      <c r="Y100" s="6"/>
    </row>
    <row r="101" spans="1:25" x14ac:dyDescent="0.25">
      <c r="A101" s="1" t="s">
        <v>334</v>
      </c>
      <c r="B101" s="6"/>
      <c r="C101" s="6"/>
      <c r="D101" s="6"/>
      <c r="E101" s="6"/>
      <c r="F101" s="6"/>
      <c r="G101" s="6"/>
      <c r="H101" s="6"/>
      <c r="I101" s="6"/>
      <c r="J101" s="15"/>
      <c r="K101" s="15"/>
      <c r="L101" s="15"/>
      <c r="M101" s="15"/>
      <c r="N101" s="6" t="s">
        <v>41</v>
      </c>
      <c r="O101" s="6" t="s">
        <v>63</v>
      </c>
      <c r="P101" s="16"/>
      <c r="Q101" s="16"/>
      <c r="R101" s="6"/>
      <c r="S101" s="6" t="s">
        <v>48</v>
      </c>
      <c r="T101" s="6" t="s">
        <v>48</v>
      </c>
      <c r="U101" s="15"/>
      <c r="V101" s="6"/>
      <c r="W101" s="6"/>
      <c r="X101" s="6" t="s">
        <v>45</v>
      </c>
      <c r="Y101" s="6"/>
    </row>
    <row r="102" spans="1:25" x14ac:dyDescent="0.25">
      <c r="A102" s="1" t="s">
        <v>335</v>
      </c>
      <c r="B102" s="6"/>
      <c r="C102" s="6"/>
      <c r="D102" s="6"/>
      <c r="E102" s="6"/>
      <c r="F102" s="6"/>
      <c r="G102" s="6"/>
      <c r="H102" s="6"/>
      <c r="I102" s="6"/>
      <c r="J102" s="15"/>
      <c r="K102" s="15"/>
      <c r="L102" s="15"/>
      <c r="M102" s="15"/>
      <c r="N102" s="6" t="s">
        <v>41</v>
      </c>
      <c r="O102" s="6" t="s">
        <v>63</v>
      </c>
      <c r="P102" s="16"/>
      <c r="Q102" s="16"/>
      <c r="R102" s="6"/>
      <c r="S102" s="6" t="s">
        <v>48</v>
      </c>
      <c r="T102" s="6" t="s">
        <v>48</v>
      </c>
      <c r="U102" s="15"/>
      <c r="V102" s="6"/>
      <c r="W102" s="6"/>
      <c r="X102" s="6" t="s">
        <v>45</v>
      </c>
      <c r="Y102" s="6"/>
    </row>
    <row r="103" spans="1:25" x14ac:dyDescent="0.25">
      <c r="A103" s="1" t="s">
        <v>336</v>
      </c>
      <c r="B103" s="6"/>
      <c r="C103" s="6"/>
      <c r="D103" s="6"/>
      <c r="E103" s="6"/>
      <c r="F103" s="6"/>
      <c r="G103" s="6"/>
      <c r="H103" s="6"/>
      <c r="I103" s="6"/>
      <c r="J103" s="15"/>
      <c r="K103" s="15"/>
      <c r="L103" s="15"/>
      <c r="M103" s="15"/>
      <c r="N103" s="6" t="s">
        <v>41</v>
      </c>
      <c r="O103" s="6" t="s">
        <v>63</v>
      </c>
      <c r="P103" s="16"/>
      <c r="Q103" s="16"/>
      <c r="R103" s="6"/>
      <c r="S103" s="6" t="s">
        <v>48</v>
      </c>
      <c r="T103" s="6" t="s">
        <v>48</v>
      </c>
      <c r="U103" s="15"/>
      <c r="V103" s="6"/>
      <c r="W103" s="6"/>
      <c r="X103" s="6" t="s">
        <v>45</v>
      </c>
      <c r="Y103" s="6"/>
    </row>
    <row r="104" spans="1:25" x14ac:dyDescent="0.25">
      <c r="A104" s="1" t="s">
        <v>337</v>
      </c>
      <c r="B104" s="6"/>
      <c r="C104" s="6"/>
      <c r="D104" s="6"/>
      <c r="E104" s="6"/>
      <c r="F104" s="6"/>
      <c r="G104" s="6"/>
      <c r="H104" s="6"/>
      <c r="I104" s="6"/>
      <c r="J104" s="15"/>
      <c r="K104" s="15"/>
      <c r="L104" s="15"/>
      <c r="M104" s="15"/>
      <c r="N104" s="6" t="s">
        <v>41</v>
      </c>
      <c r="O104" s="6" t="s">
        <v>63</v>
      </c>
      <c r="P104" s="16"/>
      <c r="Q104" s="16"/>
      <c r="R104" s="6"/>
      <c r="S104" s="6" t="s">
        <v>48</v>
      </c>
      <c r="T104" s="6" t="s">
        <v>48</v>
      </c>
      <c r="U104" s="15"/>
      <c r="V104" s="6"/>
      <c r="W104" s="6"/>
      <c r="X104" s="6" t="s">
        <v>45</v>
      </c>
      <c r="Y104" s="6"/>
    </row>
    <row r="105" spans="1:25" x14ac:dyDescent="0.25">
      <c r="A105" s="1" t="s">
        <v>338</v>
      </c>
      <c r="B105" s="6"/>
      <c r="C105" s="6"/>
      <c r="D105" s="6"/>
      <c r="E105" s="6"/>
      <c r="F105" s="6"/>
      <c r="G105" s="6"/>
      <c r="H105" s="6"/>
      <c r="I105" s="6"/>
      <c r="J105" s="15"/>
      <c r="K105" s="15"/>
      <c r="L105" s="15"/>
      <c r="M105" s="15"/>
      <c r="N105" s="6" t="s">
        <v>41</v>
      </c>
      <c r="O105" s="6" t="s">
        <v>63</v>
      </c>
      <c r="P105" s="16"/>
      <c r="Q105" s="16"/>
      <c r="R105" s="6"/>
      <c r="S105" s="6" t="s">
        <v>48</v>
      </c>
      <c r="T105" s="6" t="s">
        <v>48</v>
      </c>
      <c r="U105" s="15"/>
      <c r="V105" s="6"/>
      <c r="W105" s="6"/>
      <c r="X105" s="6" t="s">
        <v>45</v>
      </c>
      <c r="Y105" s="6"/>
    </row>
    <row r="106" spans="1:25" x14ac:dyDescent="0.25">
      <c r="A106" s="1" t="s">
        <v>339</v>
      </c>
      <c r="B106" s="6"/>
      <c r="C106" s="6"/>
      <c r="D106" s="6"/>
      <c r="E106" s="6"/>
      <c r="F106" s="6"/>
      <c r="G106" s="6"/>
      <c r="H106" s="6"/>
      <c r="I106" s="6"/>
      <c r="J106" s="15"/>
      <c r="K106" s="15"/>
      <c r="L106" s="15"/>
      <c r="M106" s="15"/>
      <c r="N106" s="6" t="s">
        <v>41</v>
      </c>
      <c r="O106" s="6" t="s">
        <v>63</v>
      </c>
      <c r="P106" s="16"/>
      <c r="Q106" s="16"/>
      <c r="R106" s="6"/>
      <c r="S106" s="6" t="s">
        <v>48</v>
      </c>
      <c r="T106" s="6" t="s">
        <v>48</v>
      </c>
      <c r="U106" s="15"/>
      <c r="V106" s="6"/>
      <c r="W106" s="6"/>
      <c r="X106" s="6" t="s">
        <v>45</v>
      </c>
      <c r="Y106" s="6"/>
    </row>
    <row r="107" spans="1:25" x14ac:dyDescent="0.25">
      <c r="A107" s="1" t="s">
        <v>340</v>
      </c>
      <c r="B107" s="6"/>
      <c r="C107" s="6"/>
      <c r="D107" s="6"/>
      <c r="E107" s="6"/>
      <c r="F107" s="6"/>
      <c r="G107" s="6"/>
      <c r="H107" s="6"/>
      <c r="I107" s="6"/>
      <c r="J107" s="15"/>
      <c r="K107" s="15"/>
      <c r="L107" s="15"/>
      <c r="M107" s="15"/>
      <c r="N107" s="6" t="s">
        <v>41</v>
      </c>
      <c r="O107" s="6" t="s">
        <v>63</v>
      </c>
      <c r="P107" s="16"/>
      <c r="Q107" s="16"/>
      <c r="R107" s="6"/>
      <c r="S107" s="6" t="s">
        <v>48</v>
      </c>
      <c r="T107" s="6" t="s">
        <v>48</v>
      </c>
      <c r="U107" s="15"/>
      <c r="V107" s="6"/>
      <c r="W107" s="6"/>
      <c r="X107" s="6" t="s">
        <v>45</v>
      </c>
      <c r="Y107" s="6"/>
    </row>
    <row r="108" spans="1:25" x14ac:dyDescent="0.25">
      <c r="A108" s="1" t="s">
        <v>341</v>
      </c>
      <c r="B108" s="6"/>
      <c r="C108" s="6"/>
      <c r="D108" s="6"/>
      <c r="E108" s="6"/>
      <c r="F108" s="6"/>
      <c r="G108" s="6"/>
      <c r="H108" s="6"/>
      <c r="I108" s="6"/>
      <c r="J108" s="15"/>
      <c r="K108" s="15"/>
      <c r="L108" s="15"/>
      <c r="M108" s="15"/>
      <c r="N108" s="6" t="s">
        <v>41</v>
      </c>
      <c r="O108" s="6" t="s">
        <v>63</v>
      </c>
      <c r="P108" s="16"/>
      <c r="Q108" s="16"/>
      <c r="R108" s="6"/>
      <c r="S108" s="6" t="s">
        <v>48</v>
      </c>
      <c r="T108" s="6" t="s">
        <v>48</v>
      </c>
      <c r="U108" s="15"/>
      <c r="V108" s="6"/>
      <c r="W108" s="6"/>
      <c r="X108" s="6" t="s">
        <v>45</v>
      </c>
      <c r="Y108" s="6"/>
    </row>
    <row r="109" spans="1:25" x14ac:dyDescent="0.25">
      <c r="A109" s="1" t="s">
        <v>342</v>
      </c>
      <c r="B109" s="6"/>
      <c r="C109" s="6"/>
      <c r="D109" s="6"/>
      <c r="E109" s="6"/>
      <c r="F109" s="6"/>
      <c r="G109" s="6"/>
      <c r="H109" s="6"/>
      <c r="I109" s="6"/>
      <c r="J109" s="15"/>
      <c r="K109" s="15"/>
      <c r="L109" s="15"/>
      <c r="M109" s="15"/>
      <c r="N109" s="6" t="s">
        <v>41</v>
      </c>
      <c r="O109" s="6" t="s">
        <v>63</v>
      </c>
      <c r="P109" s="16"/>
      <c r="Q109" s="16"/>
      <c r="R109" s="6"/>
      <c r="S109" s="6" t="s">
        <v>48</v>
      </c>
      <c r="T109" s="6" t="s">
        <v>48</v>
      </c>
      <c r="U109" s="15"/>
      <c r="V109" s="6"/>
      <c r="W109" s="6"/>
      <c r="X109" s="6" t="s">
        <v>45</v>
      </c>
      <c r="Y109" s="6"/>
    </row>
    <row r="110" spans="1:25" x14ac:dyDescent="0.25">
      <c r="A110" s="1" t="s">
        <v>343</v>
      </c>
      <c r="B110" s="6"/>
      <c r="C110" s="6"/>
      <c r="D110" s="6"/>
      <c r="E110" s="6"/>
      <c r="F110" s="6"/>
      <c r="G110" s="6"/>
      <c r="H110" s="6"/>
      <c r="I110" s="6"/>
      <c r="J110" s="15"/>
      <c r="K110" s="15"/>
      <c r="L110" s="15"/>
      <c r="M110" s="15"/>
      <c r="N110" s="6" t="s">
        <v>41</v>
      </c>
      <c r="O110" s="6" t="s">
        <v>63</v>
      </c>
      <c r="P110" s="16"/>
      <c r="Q110" s="16"/>
      <c r="R110" s="6"/>
      <c r="S110" s="6" t="s">
        <v>48</v>
      </c>
      <c r="T110" s="6" t="s">
        <v>48</v>
      </c>
      <c r="U110" s="15"/>
      <c r="V110" s="6"/>
      <c r="W110" s="6"/>
      <c r="X110" s="6" t="s">
        <v>45</v>
      </c>
      <c r="Y110" s="6"/>
    </row>
    <row r="111" spans="1:25" x14ac:dyDescent="0.25">
      <c r="A111" s="1" t="s">
        <v>344</v>
      </c>
      <c r="B111" s="6"/>
      <c r="C111" s="6"/>
      <c r="D111" s="6"/>
      <c r="E111" s="6"/>
      <c r="F111" s="6"/>
      <c r="G111" s="6"/>
      <c r="H111" s="6"/>
      <c r="I111" s="6"/>
      <c r="J111" s="15"/>
      <c r="K111" s="15"/>
      <c r="L111" s="15"/>
      <c r="M111" s="15"/>
      <c r="N111" s="6" t="s">
        <v>41</v>
      </c>
      <c r="O111" s="6" t="s">
        <v>63</v>
      </c>
      <c r="P111" s="16"/>
      <c r="Q111" s="16"/>
      <c r="R111" s="6"/>
      <c r="S111" s="6" t="s">
        <v>48</v>
      </c>
      <c r="T111" s="6" t="s">
        <v>48</v>
      </c>
      <c r="U111" s="15"/>
      <c r="V111" s="6"/>
      <c r="W111" s="6"/>
      <c r="X111" s="6" t="s">
        <v>45</v>
      </c>
      <c r="Y111" s="6"/>
    </row>
    <row r="112" spans="1:25" x14ac:dyDescent="0.25">
      <c r="A112" s="1" t="s">
        <v>345</v>
      </c>
      <c r="B112" s="6"/>
      <c r="C112" s="6"/>
      <c r="D112" s="6"/>
      <c r="E112" s="6"/>
      <c r="F112" s="6"/>
      <c r="G112" s="6"/>
      <c r="H112" s="6"/>
      <c r="I112" s="6"/>
      <c r="J112" s="15"/>
      <c r="K112" s="15"/>
      <c r="L112" s="15"/>
      <c r="M112" s="15"/>
      <c r="N112" s="6" t="s">
        <v>41</v>
      </c>
      <c r="O112" s="6" t="s">
        <v>63</v>
      </c>
      <c r="P112" s="16"/>
      <c r="Q112" s="16"/>
      <c r="R112" s="6"/>
      <c r="S112" s="6" t="s">
        <v>48</v>
      </c>
      <c r="T112" s="6" t="s">
        <v>48</v>
      </c>
      <c r="U112" s="15"/>
      <c r="V112" s="6"/>
      <c r="W112" s="6"/>
      <c r="X112" s="6" t="s">
        <v>45</v>
      </c>
      <c r="Y112" s="6"/>
    </row>
    <row r="113" spans="1:25" x14ac:dyDescent="0.25">
      <c r="A113" s="1" t="s">
        <v>346</v>
      </c>
      <c r="B113" s="6"/>
      <c r="C113" s="6"/>
      <c r="D113" s="6"/>
      <c r="E113" s="6"/>
      <c r="F113" s="6"/>
      <c r="G113" s="6"/>
      <c r="H113" s="6"/>
      <c r="I113" s="6"/>
      <c r="J113" s="15"/>
      <c r="K113" s="15"/>
      <c r="L113" s="15"/>
      <c r="M113" s="15"/>
      <c r="N113" s="6" t="s">
        <v>41</v>
      </c>
      <c r="O113" s="6" t="s">
        <v>63</v>
      </c>
      <c r="P113" s="16"/>
      <c r="Q113" s="16"/>
      <c r="R113" s="6"/>
      <c r="S113" s="6" t="s">
        <v>48</v>
      </c>
      <c r="T113" s="6" t="s">
        <v>48</v>
      </c>
      <c r="U113" s="15"/>
      <c r="V113" s="6"/>
      <c r="W113" s="6"/>
      <c r="X113" s="6" t="s">
        <v>45</v>
      </c>
      <c r="Y113" s="6"/>
    </row>
    <row r="114" spans="1:25" x14ac:dyDescent="0.25">
      <c r="A114" s="1" t="s">
        <v>347</v>
      </c>
      <c r="B114" s="6"/>
      <c r="C114" s="6"/>
      <c r="D114" s="6"/>
      <c r="E114" s="6"/>
      <c r="F114" s="6"/>
      <c r="G114" s="6"/>
      <c r="H114" s="6"/>
      <c r="I114" s="6"/>
      <c r="J114" s="15"/>
      <c r="K114" s="15"/>
      <c r="L114" s="15"/>
      <c r="M114" s="15"/>
      <c r="N114" s="6" t="s">
        <v>41</v>
      </c>
      <c r="O114" s="6" t="s">
        <v>63</v>
      </c>
      <c r="P114" s="16"/>
      <c r="Q114" s="16"/>
      <c r="R114" s="6"/>
      <c r="S114" s="6" t="s">
        <v>48</v>
      </c>
      <c r="T114" s="6" t="s">
        <v>48</v>
      </c>
      <c r="U114" s="15"/>
      <c r="V114" s="6"/>
      <c r="W114" s="6"/>
      <c r="X114" s="6" t="s">
        <v>45</v>
      </c>
      <c r="Y114" s="6"/>
    </row>
    <row r="115" spans="1:25" x14ac:dyDescent="0.25">
      <c r="A115" s="1" t="s">
        <v>348</v>
      </c>
      <c r="B115" s="6"/>
      <c r="C115" s="6"/>
      <c r="D115" s="6"/>
      <c r="E115" s="6"/>
      <c r="F115" s="6"/>
      <c r="G115" s="6"/>
      <c r="H115" s="6"/>
      <c r="I115" s="6"/>
      <c r="J115" s="15"/>
      <c r="K115" s="15"/>
      <c r="L115" s="15"/>
      <c r="M115" s="15"/>
      <c r="N115" s="6" t="s">
        <v>41</v>
      </c>
      <c r="O115" s="6" t="s">
        <v>63</v>
      </c>
      <c r="P115" s="16"/>
      <c r="Q115" s="16"/>
      <c r="R115" s="6"/>
      <c r="S115" s="6" t="s">
        <v>48</v>
      </c>
      <c r="T115" s="6" t="s">
        <v>48</v>
      </c>
      <c r="U115" s="15"/>
      <c r="V115" s="6"/>
      <c r="W115" s="6"/>
      <c r="X115" s="6" t="s">
        <v>45</v>
      </c>
      <c r="Y115" s="6"/>
    </row>
    <row r="116" spans="1:25" x14ac:dyDescent="0.25">
      <c r="A116" s="1" t="s">
        <v>349</v>
      </c>
      <c r="B116" s="6"/>
      <c r="C116" s="6"/>
      <c r="D116" s="6"/>
      <c r="E116" s="6"/>
      <c r="F116" s="6"/>
      <c r="G116" s="6"/>
      <c r="H116" s="6"/>
      <c r="I116" s="6"/>
      <c r="J116" s="15"/>
      <c r="K116" s="15"/>
      <c r="L116" s="15"/>
      <c r="M116" s="15"/>
      <c r="N116" s="6" t="s">
        <v>41</v>
      </c>
      <c r="O116" s="6" t="s">
        <v>63</v>
      </c>
      <c r="P116" s="16"/>
      <c r="Q116" s="16"/>
      <c r="R116" s="6"/>
      <c r="S116" s="6" t="s">
        <v>48</v>
      </c>
      <c r="T116" s="6" t="s">
        <v>48</v>
      </c>
      <c r="U116" s="15"/>
      <c r="V116" s="6"/>
      <c r="W116" s="6"/>
      <c r="X116" s="6" t="s">
        <v>45</v>
      </c>
      <c r="Y116" s="6"/>
    </row>
    <row r="117" spans="1:25" x14ac:dyDescent="0.25">
      <c r="A117" s="1" t="s">
        <v>350</v>
      </c>
      <c r="B117" s="6"/>
      <c r="C117" s="6"/>
      <c r="D117" s="6"/>
      <c r="E117" s="6"/>
      <c r="F117" s="6"/>
      <c r="G117" s="6"/>
      <c r="H117" s="6"/>
      <c r="I117" s="6"/>
      <c r="J117" s="15"/>
      <c r="K117" s="15"/>
      <c r="L117" s="15"/>
      <c r="M117" s="15"/>
      <c r="N117" s="6" t="s">
        <v>41</v>
      </c>
      <c r="O117" s="6" t="s">
        <v>63</v>
      </c>
      <c r="P117" s="16"/>
      <c r="Q117" s="16"/>
      <c r="R117" s="6"/>
      <c r="S117" s="6" t="s">
        <v>48</v>
      </c>
      <c r="T117" s="6" t="s">
        <v>48</v>
      </c>
      <c r="U117" s="15"/>
      <c r="V117" s="6"/>
      <c r="W117" s="6"/>
      <c r="X117" s="6" t="s">
        <v>45</v>
      </c>
      <c r="Y117" s="6"/>
    </row>
  </sheetData>
  <dataValidations count="1">
    <dataValidation type="whole" allowBlank="1" sqref="Y7:Y117" xr:uid="{00000000-0002-0000-0200-000007000000}">
      <formula1>1</formula1>
      <formula2>10</formula2>
    </dataValidation>
  </dataValidations>
  <hyperlinks>
    <hyperlink ref="H10" r:id="rId1" xr:uid="{A95D53B4-B08C-4819-9A1D-265D605C58FA}"/>
    <hyperlink ref="G10" r:id="rId2" xr:uid="{87A61DBD-66DA-4BC8-B431-134E2D371028}"/>
    <hyperlink ref="G11" r:id="rId3" display="mailto:Chuck.1916pub@gmail.com" xr:uid="{63941029-353A-4EF5-B2A4-F9A62471BF7C}"/>
    <hyperlink ref="G16" r:id="rId4" xr:uid="{E34074F8-72A6-43D9-8080-60B7D505B8C1}"/>
    <hyperlink ref="G7" r:id="rId5" xr:uid="{193F438C-4F94-4746-9642-56E9BB7CCE3F}"/>
    <hyperlink ref="G8" r:id="rId6" xr:uid="{141AC1C3-F5C6-484D-8A50-0894FCFF5300}"/>
    <hyperlink ref="G9" r:id="rId7" xr:uid="{25C25589-AA51-4938-A8FA-1699A7CBFF63}"/>
    <hyperlink ref="G13" r:id="rId8" xr:uid="{148C7442-A83B-4B60-8555-D222A837538D}"/>
  </hyperlinks>
  <pageMargins left="0.75" right="0.75" top="1" bottom="1" header="0.511811023622047" footer="0.511811023622047"/>
  <pageSetup paperSize="9" orientation="portrait" horizontalDpi="300" verticalDpi="300" r:id="rId9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200-000000000000}">
          <x14:formula1>
            <xm:f>'Dropdown Lists'!$D$2:$D$19</xm:f>
          </x14:formula1>
          <x14:formula2>
            <xm:f>0</xm:f>
          </x14:formula2>
          <xm:sqref>C7:C117</xm:sqref>
        </x14:dataValidation>
        <x14:dataValidation type="list" allowBlank="1" xr:uid="{00000000-0002-0000-0200-000001000000}">
          <x14:formula1>
            <xm:f>'Dropdown Lists'!$E$2:$E$6</xm:f>
          </x14:formula1>
          <x14:formula2>
            <xm:f>0</xm:f>
          </x14:formula2>
          <xm:sqref>D7:D117</xm:sqref>
        </x14:dataValidation>
        <x14:dataValidation type="list" allowBlank="1" xr:uid="{00000000-0002-0000-0200-000002000000}">
          <x14:formula1>
            <xm:f>'Dropdown Lists'!$A$2:$A$18</xm:f>
          </x14:formula1>
          <x14:formula2>
            <xm:f>0</xm:f>
          </x14:formula2>
          <xm:sqref>N7:N117</xm:sqref>
        </x14:dataValidation>
        <x14:dataValidation type="list" allowBlank="1" xr:uid="{00000000-0002-0000-0200-000003000000}">
          <x14:formula1>
            <xm:f>'Dropdown Lists'!$B$2:$B$7</xm:f>
          </x14:formula1>
          <x14:formula2>
            <xm:f>0</xm:f>
          </x14:formula2>
          <xm:sqref>O7:O117</xm:sqref>
        </x14:dataValidation>
        <x14:dataValidation type="list" allowBlank="1" xr:uid="{00000000-0002-0000-0200-000004000000}">
          <x14:formula1>
            <xm:f>'Dropdown Lists'!$C$2:$C$3</xm:f>
          </x14:formula1>
          <x14:formula2>
            <xm:f>0</xm:f>
          </x14:formula2>
          <xm:sqref>S7:T117</xm:sqref>
        </x14:dataValidation>
        <x14:dataValidation type="list" allowBlank="1" xr:uid="{00000000-0002-0000-0200-000006000000}">
          <x14:formula1>
            <xm:f>'Dropdown Lists'!$F$2:$F$5</xm:f>
          </x14:formula1>
          <x14:formula2>
            <xm:f>0</xm:f>
          </x14:formula2>
          <xm:sqref>X7:X117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2"/>
  <sheetViews>
    <sheetView showGridLines="0" topLeftCell="A15" zoomScaleNormal="100" workbookViewId="0"/>
  </sheetViews>
  <sheetFormatPr defaultColWidth="8.7109375" defaultRowHeight="15" x14ac:dyDescent="0.25"/>
  <cols>
    <col min="2" max="2" width="10" customWidth="1"/>
    <col min="3" max="3" width="30" customWidth="1"/>
    <col min="4" max="4" width="70" customWidth="1"/>
  </cols>
  <sheetData>
    <row r="2" spans="2:6" ht="20.25" x14ac:dyDescent="0.3">
      <c r="B2" s="3" t="s">
        <v>351</v>
      </c>
    </row>
    <row r="4" spans="2:6" ht="39.75" customHeight="1" x14ac:dyDescent="0.25">
      <c r="B4" s="17" t="s">
        <v>352</v>
      </c>
      <c r="C4" s="17" t="s">
        <v>353</v>
      </c>
      <c r="D4" s="17" t="s">
        <v>354</v>
      </c>
    </row>
    <row r="5" spans="2:6" ht="39.75" customHeight="1" x14ac:dyDescent="0.25">
      <c r="B5" s="2" t="s">
        <v>355</v>
      </c>
      <c r="C5" s="2" t="s">
        <v>356</v>
      </c>
      <c r="D5" s="2" t="s">
        <v>357</v>
      </c>
    </row>
    <row r="6" spans="2:6" ht="39.75" customHeight="1" x14ac:dyDescent="0.25">
      <c r="B6" s="2" t="s">
        <v>358</v>
      </c>
      <c r="C6" s="2" t="s">
        <v>359</v>
      </c>
      <c r="D6" s="2" t="s">
        <v>360</v>
      </c>
    </row>
    <row r="7" spans="2:6" ht="39.75" customHeight="1" x14ac:dyDescent="0.25">
      <c r="B7" s="2" t="s">
        <v>361</v>
      </c>
      <c r="C7" s="2" t="s">
        <v>362</v>
      </c>
      <c r="D7" s="2" t="s">
        <v>363</v>
      </c>
    </row>
    <row r="8" spans="2:6" ht="39.75" customHeight="1" x14ac:dyDescent="0.25">
      <c r="B8" s="2" t="s">
        <v>364</v>
      </c>
      <c r="C8" s="2" t="s">
        <v>365</v>
      </c>
      <c r="D8" s="2" t="s">
        <v>366</v>
      </c>
    </row>
    <row r="9" spans="2:6" ht="39.75" customHeight="1" x14ac:dyDescent="0.25">
      <c r="B9" s="2" t="s">
        <v>367</v>
      </c>
      <c r="C9" s="2" t="s">
        <v>368</v>
      </c>
      <c r="D9" s="2" t="s">
        <v>369</v>
      </c>
    </row>
    <row r="12" spans="2:6" x14ac:dyDescent="0.25">
      <c r="B12" s="5" t="s">
        <v>370</v>
      </c>
    </row>
    <row r="13" spans="2:6" ht="27.75" customHeight="1" x14ac:dyDescent="0.25">
      <c r="B13" s="21" t="s">
        <v>371</v>
      </c>
      <c r="C13" s="21"/>
      <c r="D13" s="21"/>
      <c r="E13" s="21"/>
      <c r="F13" s="21"/>
    </row>
    <row r="14" spans="2:6" ht="27.75" customHeight="1" x14ac:dyDescent="0.25">
      <c r="B14" s="21" t="s">
        <v>372</v>
      </c>
      <c r="C14" s="21"/>
      <c r="D14" s="21"/>
      <c r="E14" s="21"/>
      <c r="F14" s="21"/>
    </row>
    <row r="15" spans="2:6" ht="27.75" customHeight="1" x14ac:dyDescent="0.25">
      <c r="B15" s="21" t="s">
        <v>373</v>
      </c>
      <c r="C15" s="21"/>
      <c r="D15" s="21"/>
      <c r="E15" s="21"/>
      <c r="F15" s="21"/>
    </row>
    <row r="16" spans="2:6" ht="27.75" customHeight="1" x14ac:dyDescent="0.25">
      <c r="B16" s="21" t="s">
        <v>374</v>
      </c>
      <c r="C16" s="21"/>
      <c r="D16" s="21"/>
      <c r="E16" s="21"/>
      <c r="F16" s="21"/>
    </row>
    <row r="17" spans="2:6" ht="27.75" customHeight="1" x14ac:dyDescent="0.25">
      <c r="B17" s="21" t="s">
        <v>375</v>
      </c>
      <c r="C17" s="21"/>
      <c r="D17" s="21"/>
      <c r="E17" s="21"/>
      <c r="F17" s="21"/>
    </row>
    <row r="19" spans="2:6" x14ac:dyDescent="0.25">
      <c r="B19" s="5" t="s">
        <v>376</v>
      </c>
    </row>
    <row r="20" spans="2:6" x14ac:dyDescent="0.25">
      <c r="B20" s="20" t="s">
        <v>377</v>
      </c>
      <c r="C20" s="20"/>
      <c r="D20" s="20"/>
      <c r="E20" s="20"/>
      <c r="F20" s="20"/>
    </row>
    <row r="21" spans="2:6" x14ac:dyDescent="0.25">
      <c r="B21" s="20" t="s">
        <v>378</v>
      </c>
      <c r="C21" s="20"/>
      <c r="D21" s="20"/>
      <c r="E21" s="20"/>
      <c r="F21" s="20"/>
    </row>
    <row r="22" spans="2:6" x14ac:dyDescent="0.25">
      <c r="B22" s="20" t="s">
        <v>379</v>
      </c>
      <c r="C22" s="20"/>
      <c r="D22" s="20"/>
      <c r="E22" s="20"/>
      <c r="F22" s="20"/>
    </row>
  </sheetData>
  <mergeCells count="8">
    <mergeCell ref="B20:F20"/>
    <mergeCell ref="B21:F21"/>
    <mergeCell ref="B22:F22"/>
    <mergeCell ref="B13:F13"/>
    <mergeCell ref="B14:F14"/>
    <mergeCell ref="B15:F15"/>
    <mergeCell ref="B16:F16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Dropdown Lists</vt:lpstr>
      <vt:lpstr>Prospect Tracker</vt:lpstr>
      <vt:lpstr>Scoring &amp; Workflow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Maggie Baty</cp:lastModifiedBy>
  <cp:revision>0</cp:revision>
  <dcterms:created xsi:type="dcterms:W3CDTF">2026-08-06T00:26:26Z</dcterms:created>
  <dcterms:modified xsi:type="dcterms:W3CDTF">2026-08-06T21:47:57Z</dcterms:modified>
  <dc:language>en-US</dc:language>
</cp:coreProperties>
</file>