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corporation Budget" sheetId="1" state="visible" r:id="rId3"/>
    <sheet name="Program 1 Startup Budget" sheetId="2" state="visible" r:id="rId4"/>
  </sheets>
  <definedNames>
    <definedName function="false" hidden="false" localSheetId="0" name="_xlnm.Print_Area" vbProcedure="false">'Incorporation Budget'!$A$1:$D$35</definedName>
    <definedName function="false" hidden="false" localSheetId="1" name="_xlnm.Print_Area" vbProcedure="false">'Program 1 Startup Budget'!$A$1:$D$42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<sst xmlns="http://schemas.openxmlformats.org/spreadsheetml/2006/main" count="164" uniqueCount="128">
  <si>
    <t xml:space="preserve">AgroHouse Foundation™ – Startup Incorporation Budget</t>
  </si>
  <si>
    <t xml:space="preserve">Projected one-time costs to legally form AGHF Inc. and obtain 501(c)(3) tax-exempt status</t>
  </si>
  <si>
    <t xml:space="preserve">STATE FORMATION (Florida Division of Corporations)</t>
  </si>
  <si>
    <t xml:space="preserve">Item</t>
  </si>
  <si>
    <t xml:space="preserve">Cost</t>
  </si>
  <si>
    <t xml:space="preserve">Qty/Notes</t>
  </si>
  <si>
    <t xml:space="preserve">Source / Assumption</t>
  </si>
  <si>
    <t xml:space="preserve">Articles of Incorporation – filing fee</t>
  </si>
  <si>
    <t xml:space="preserve">Required</t>
  </si>
  <si>
    <t xml:space="preserve">FL Division of Corporations (Sunbiz), 2026 fee schedule</t>
  </si>
  <si>
    <t xml:space="preserve">Certified Copy of Articles</t>
  </si>
  <si>
    <t xml:space="preserve">Recommended</t>
  </si>
  <si>
    <t xml:space="preserve">Sunbiz optional add-on; useful for bank/EIN</t>
  </si>
  <si>
    <t xml:space="preserve">Certificate of Status</t>
  </si>
  <si>
    <t xml:space="preserve">Sunbiz optional add-on; often required by banks/grantors</t>
  </si>
  <si>
    <t xml:space="preserve">Registered Agent designation</t>
  </si>
  <si>
    <t xml:space="preserve">Self-designated (board member)</t>
  </si>
  <si>
    <t xml:space="preserve">No cost if a director/officer serves as agent</t>
  </si>
  <si>
    <t xml:space="preserve">State Formation Subtotal</t>
  </si>
  <si>
    <t xml:space="preserve">FEDERAL TAX-EXEMPT STATUS (IRS)</t>
  </si>
  <si>
    <t xml:space="preserve">EIN Application (Form SS-4)</t>
  </si>
  <si>
    <t xml:space="preserve">Free; filed online at IRS.gov</t>
  </si>
  <si>
    <t xml:space="preserve">IRS Form 1023 – 501(c)(3) application</t>
  </si>
  <si>
    <t xml:space="preserve">Full Form 1023 (see note)</t>
  </si>
  <si>
    <t xml:space="preserve">IRS user fee, 2026. Program 1 alone projects $145,200/yr, above the $50,000 gross-receipts ceiling for the cheaper Form 1023-EZ ($275), so the full Form 1023 is assumed.</t>
  </si>
  <si>
    <t xml:space="preserve">Federal Tax-Exempt Subtotal</t>
  </si>
  <si>
    <t xml:space="preserve">STATE CHARITABLE REGISTRATION (FDACS)</t>
  </si>
  <si>
    <t xml:space="preserve">Solicitation of Contributions Registration</t>
  </si>
  <si>
    <t xml:space="preserve">Contribution tier $100,000–$199,999</t>
  </si>
  <si>
    <t xml:space="preserve">FDACS fee schedule 2026, based on Program 1's projected $145,200 annual budget</t>
  </si>
  <si>
    <t xml:space="preserve">Charitable Registration Subtotal</t>
  </si>
  <si>
    <t xml:space="preserve">ADMINISTRATIVE SETUP</t>
  </si>
  <si>
    <t xml:space="preserve">Nonprofit bank account opening deposit</t>
  </si>
  <si>
    <t xml:space="preserve">Assumption – confirm with bank</t>
  </si>
  <si>
    <t xml:space="preserve">Typical minimum opening deposit; editable estimate</t>
  </si>
  <si>
    <t xml:space="preserve">Corporate record book / minute book supplies</t>
  </si>
  <si>
    <t xml:space="preserve">Assumption</t>
  </si>
  <si>
    <t xml:space="preserve">Binder, seal, share/member ledger; editable estimate</t>
  </si>
  <si>
    <t xml:space="preserve">Administrative Setup Subtotal</t>
  </si>
  <si>
    <t xml:space="preserve">TOTAL PROJECTED INCORPORATION STARTUP COST</t>
  </si>
  <si>
    <t xml:space="preserve">Legend: Blue = editable input/estimate  •  Yellow fill = assumption to confirm  •  Black bold = calculated total</t>
  </si>
  <si>
    <t xml:space="preserve">Bylaws, Conflict of Interest Policy, and other governance documents were drafted internally per the AgroHouse Foundation™ Master Knowledge Base and are not included as a cost line.</t>
  </si>
  <si>
    <t xml:space="preserve">© 2026 AgroHouse Foundation™. All rights reserved.</t>
  </si>
  <si>
    <t xml:space="preserve">AgroHouse Foundation™ – Program 1 Startup Budget</t>
  </si>
  <si>
    <t xml:space="preserve">Community Outreach Stabilization Program – one-time launch costs plus operating reserve</t>
  </si>
  <si>
    <t xml:space="preserve">ONE-TIME LAUNCH / EQUIPMENT COSTS (estimates – confirm with vendor quotes)</t>
  </si>
  <si>
    <t xml:space="preserve">Commercial shelving units</t>
  </si>
  <si>
    <t xml:space="preserve">4 units @ $150</t>
  </si>
  <si>
    <t xml:space="preserve">Estimate – KB lists as a planned purchase, no vendor quote yet</t>
  </si>
  <si>
    <t xml:space="preserve">Storage containers</t>
  </si>
  <si>
    <t xml:space="preserve">20 units @ $15</t>
  </si>
  <si>
    <t xml:space="preserve">Coolers</t>
  </si>
  <si>
    <t xml:space="preserve">3 units @ $80</t>
  </si>
  <si>
    <t xml:space="preserve">Food transportation equipment</t>
  </si>
  <si>
    <t xml:space="preserve">Hand trucks, insulated carriers</t>
  </si>
  <si>
    <t xml:space="preserve">Inventory bins</t>
  </si>
  <si>
    <t xml:space="preserve">15 units @ $12</t>
  </si>
  <si>
    <t xml:space="preserve">5-gallon beverage dispensers</t>
  </si>
  <si>
    <t xml:space="preserve">4 units @ $45 (coffee/tea/water/hydration)</t>
  </si>
  <si>
    <t xml:space="preserve">Estimate – KB lists as required beverage infrastructure</t>
  </si>
  <si>
    <t xml:space="preserve">Storage &amp; office shed</t>
  </si>
  <si>
    <t xml:space="preserve">On-site storage and office space</t>
  </si>
  <si>
    <t xml:space="preserve">User-provided estimate. Not yet quoted with a vendor; confirm final cost before purchase.</t>
  </si>
  <si>
    <t xml:space="preserve">General Liability Insurance (annual premium)</t>
  </si>
  <si>
    <t xml:space="preserve">Required prior to program launch</t>
  </si>
  <si>
    <t xml:space="preserve">Actual quote — Progressive Insurance (Directors &amp; Officers coverage included in this policy). Confirmed premium; replaces prior $650 estimate.</t>
  </si>
  <si>
    <t xml:space="preserve">Directors &amp; Officers (D&amp;O) Insurance (annual premium)</t>
  </si>
  <si>
    <t xml:space="preserve">Included in General Liability policy above</t>
  </si>
  <si>
    <t xml:space="preserve">No separate premium — D&amp;O coverage is bundled into the General Liability quote from Progressive Insurance (row above). Retained as a line item for transparency and audit trail.</t>
  </si>
  <si>
    <t xml:space="preserve">Food Products Liability Coverage (annual premium)</t>
  </si>
  <si>
    <t xml:space="preserve">Estimate – confirm actual quote from insurer; KB requires this coverage before launch</t>
  </si>
  <si>
    <t xml:space="preserve">Commercial Vehicle Insurance (annual premium)</t>
  </si>
  <si>
    <t xml:space="preserve">$1,345.00 billed semi-annually (2 payments/year)</t>
  </si>
  <si>
    <t xml:space="preserve">Actual quote — Progressive Insurance. Required now that the Program 1 fleet vehicle (AWD Chrysler Pacifica Limited) has been acquired; satisfies the Commercial Auto Insurance requirement in the AgroHouse Foundation™ Master Knowledge Base.</t>
  </si>
  <si>
    <t xml:space="preserve">Workers' Compensation Insurance (annual premium)</t>
  </si>
  <si>
    <t xml:space="preserve">Required for support worker/employee positions</t>
  </si>
  <si>
    <t xml:space="preserve">Actual quote — Progressive Insurance.</t>
  </si>
  <si>
    <t xml:space="preserve">Business Insurance / BOP (annual premium)</t>
  </si>
  <si>
    <t xml:space="preserve">Property and general business coverage</t>
  </si>
  <si>
    <t xml:space="preserve">Actual quote — Progressive Insurance. Separate/additional coverage from Food Products Liability (e.g., property and business owner's policy elements) — per organizational confirmation.</t>
  </si>
  <si>
    <t xml:space="preserve">Food Safety Certification (ServSafe Food Protection Manager)</t>
  </si>
  <si>
    <t xml:space="preserve">One manager certified; course + proctored exam</t>
  </si>
  <si>
    <t xml:space="preserve">User-provided estimate based on typical ServSafe Food Protection Manager course + exam pricing ($125–$275 range); not yet vendor-confirmed.</t>
  </si>
  <si>
    <t xml:space="preserve">Background Checks (Program Manager + Support Workers)</t>
  </si>
  <si>
    <t xml:space="preserve">3 positions @ ~$40/person</t>
  </si>
  <si>
    <t xml:space="preserve">User-provided estimate based on typical nonprofit employee background check pricing ($30–$75/person); not yet vendor-confirmed.</t>
  </si>
  <si>
    <t xml:space="preserve">Signage &amp; branding materials</t>
  </si>
  <si>
    <t xml:space="preserve">Banners, table signs, volunteer ID</t>
  </si>
  <si>
    <t xml:space="preserve">Estimate</t>
  </si>
  <si>
    <t xml:space="preserve">Miscellaneous launch supplies</t>
  </si>
  <si>
    <t xml:space="preserve">Contingency for small setup items</t>
  </si>
  <si>
    <t xml:space="preserve">Website hosting (IONOS) – Year 1 setup fee</t>
  </si>
  <si>
    <t xml:space="preserve">Free first year of hosting; $5 one-time processing fee</t>
  </si>
  <si>
    <t xml:space="preserve">User-provided vendor quote. IONOS: $0/mo hosting for year 1 (processing fee $5 only); billing converts to $20/mo starting year 2. Year 2+ cost ($240/yr) is not included in this startup budget and should be added to future operating budgets.</t>
  </si>
  <si>
    <t xml:space="preserve">Vehicle – AWD Chrysler Pacifica Limited (MSRP + Fees)</t>
  </si>
  <si>
    <t xml:space="preserve">Fleet transport vehicle</t>
  </si>
  <si>
    <t xml:space="preserve">MSRP $58,000 + estimated FL fees (Pasco County): 6% state sales tax $3,480.00 + 1% county surtax on first $5,000 $50.00 + title fee $77.25 + registration/plate $253.00 + dealer documentation fee $799.00 (FL statutory cap). Ties to Fleet Development Strategy in the AgroHouse Foundation™ Master Knowledge Base. Actual tax/fees will vary by dealer, financing, and final county of registration — confirm with dealer quote before purchase.</t>
  </si>
  <si>
    <t xml:space="preserve">Vehicle wrap (Chrysler Pacifica)</t>
  </si>
  <si>
    <t xml:space="preserve">Branding/signage for fleet vehicle</t>
  </si>
  <si>
    <t xml:space="preserve">User-provided vendor quote.</t>
  </si>
  <si>
    <t xml:space="preserve">One-Time Launch Costs Subtotal</t>
  </si>
  <si>
    <t xml:space="preserve">MONTHLY OPERATING BUDGET (Board-approved, Master Knowledge Base)</t>
  </si>
  <si>
    <t xml:space="preserve">Meals</t>
  </si>
  <si>
    <t xml:space="preserve">Community meal service</t>
  </si>
  <si>
    <t xml:space="preserve">AgroHouse Foundation™ Master Knowledge Base</t>
  </si>
  <si>
    <t xml:space="preserve">Coffee &amp; Tea Station</t>
  </si>
  <si>
    <t xml:space="preserve">Hydration Station</t>
  </si>
  <si>
    <t xml:space="preserve">Hygiene Blessing Bags</t>
  </si>
  <si>
    <t xml:space="preserve">Meal Service Supplies</t>
  </si>
  <si>
    <t xml:space="preserve">Program Manager (Maggie Baty)</t>
  </si>
  <si>
    <t xml:space="preserve">Program administration, procurement, compliance</t>
  </si>
  <si>
    <t xml:space="preserve">Support Workers</t>
  </si>
  <si>
    <t xml:space="preserve">1–2 positions, open</t>
  </si>
  <si>
    <t xml:space="preserve">QuickBooks Enterprise (annual subscription ÷ 12)</t>
  </si>
  <si>
    <t xml:space="preserve">Billed annually at $2,800/year</t>
  </si>
  <si>
    <t xml:space="preserve">User-provided vendor quote. Shown as a monthly equivalent for consistency with the monthly operating budget total.</t>
  </si>
  <si>
    <t xml:space="preserve">Annual Reporting / Form 990 Preparation (annual ÷ 12)</t>
  </si>
  <si>
    <t xml:space="preserve">CPA-prepared Form 990, billed annually at ~$1,200/year</t>
  </si>
  <si>
    <t xml:space="preserve">User-provided estimate based on typical small-nonprofit Form 990 CPA preparation cost ($500–$2,000+ range); not yet vendor-confirmed. Shown as a monthly equivalent for consistency with the monthly operating budget total.</t>
  </si>
  <si>
    <t xml:space="preserve">Monthly Operating Total</t>
  </si>
  <si>
    <t xml:space="preserve">Annual Operating Total</t>
  </si>
  <si>
    <t xml:space="preserve">RECOMMENDED STARTUP FUNDING TARGET</t>
  </si>
  <si>
    <t xml:space="preserve">Operating reserve (months of runway before program is expected to reach funding sustainability)</t>
  </si>
  <si>
    <t xml:space="preserve">Editable assumption – adjust to Board's desired launch runway</t>
  </si>
  <si>
    <t xml:space="preserve">Operating Reserve (reserve months × monthly operating total)</t>
  </si>
  <si>
    <t xml:space="preserve">TOTAL PROJECTED PROGRAM 1 STARTUP BUDGET</t>
  </si>
  <si>
    <t xml:space="preserve">One-time equipment and insurance figures are planning estimates (KB names the items but not costs); confirm with actual vendor and insurance quotes before finalizing.</t>
  </si>
  <si>
    <t xml:space="preserve">Monthly operating figures are Board-approved amounts from the AgroHouse Foundation™ Master Knowledge Base and should not be changed without Board action.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</si>
</sst>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D2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D2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4EDE4"/>
        <bgColor rgb="FFD9E8D3"/>
      </patternFill>
    </fill>
    <fill>
      <patternFill patternType="solid">
        <fgColor rgb="FFD9E8D3"/>
        <bgColor rgb="FFE4EDE4"/>
      </patternFill>
    </fill>
    <fill>
      <patternFill patternType="solid">
        <fgColor rgb="FFFFFF00"/>
        <bgColor rgb="FFFFFF00"/>
      </patternFill>
    </fill>
    <fill>
      <patternFill patternType="solid">
        <fgColor rgb="FF1F3D2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E4ED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7"/>
    <col collapsed="false" customWidth="true" hidden="false" outlineLevel="0" max="2" min="2" style="2" width="9.71"/>
    <col collapsed="false" customWidth="true" hidden="false" outlineLevel="0" max="3" min="3" style="2" width="35.29"/>
    <col collapsed="false" customWidth="true" hidden="false" outlineLevel="0" max="4" min="4" style="1" width="67.86"/>
  </cols>
  <sheetData>
    <row r="1" customFormat="false" ht="42.75" hidden="false" customHeight="true" outlineLevel="0" collapsed="false">
      <c r="A1" s="3" t="s">
        <v>0</v>
      </c>
      <c r="B1" s="3"/>
      <c r="C1" s="3"/>
      <c r="D1" s="3"/>
    </row>
    <row r="2" customFormat="false" ht="42.75" hidden="false" customHeight="true" outlineLevel="0" collapsed="false">
      <c r="A2" s="4" t="s">
        <v>1</v>
      </c>
      <c r="B2" s="4"/>
      <c r="C2" s="4"/>
      <c r="D2" s="4"/>
    </row>
    <row r="3" customFormat="false" ht="42.75" hidden="false" customHeight="true" outlineLevel="0" collapsed="false"/>
    <row r="4" customFormat="false" ht="42.75" hidden="false" customHeight="true" outlineLevel="0" collapsed="false">
      <c r="A4" s="5" t="s">
        <v>2</v>
      </c>
      <c r="B4" s="5"/>
      <c r="C4" s="5"/>
      <c r="D4" s="5"/>
    </row>
    <row r="5" customFormat="false" ht="42.75" hidden="false" customHeight="true" outlineLevel="0" collapsed="false">
      <c r="A5" s="6" t="s">
        <v>3</v>
      </c>
      <c r="B5" s="7" t="s">
        <v>4</v>
      </c>
      <c r="C5" s="7" t="s">
        <v>5</v>
      </c>
      <c r="D5" s="6" t="s">
        <v>6</v>
      </c>
    </row>
    <row r="6" customFormat="false" ht="42.75" hidden="false" customHeight="true" outlineLevel="0" collapsed="false">
      <c r="A6" s="8" t="s">
        <v>7</v>
      </c>
      <c r="B6" s="9" t="n">
        <v>70</v>
      </c>
      <c r="C6" s="10" t="s">
        <v>8</v>
      </c>
      <c r="D6" s="11" t="s">
        <v>9</v>
      </c>
    </row>
    <row r="7" customFormat="false" ht="42.75" hidden="false" customHeight="true" outlineLevel="0" collapsed="false">
      <c r="A7" s="8" t="s">
        <v>10</v>
      </c>
      <c r="B7" s="9" t="n">
        <v>8.75</v>
      </c>
      <c r="C7" s="10" t="s">
        <v>11</v>
      </c>
      <c r="D7" s="11" t="s">
        <v>12</v>
      </c>
    </row>
    <row r="8" customFormat="false" ht="42.75" hidden="false" customHeight="true" outlineLevel="0" collapsed="false">
      <c r="A8" s="8" t="s">
        <v>13</v>
      </c>
      <c r="B8" s="9" t="n">
        <v>8.75</v>
      </c>
      <c r="C8" s="10" t="s">
        <v>11</v>
      </c>
      <c r="D8" s="11" t="s">
        <v>14</v>
      </c>
    </row>
    <row r="9" customFormat="false" ht="42.75" hidden="false" customHeight="true" outlineLevel="0" collapsed="false">
      <c r="A9" s="8" t="s">
        <v>15</v>
      </c>
      <c r="B9" s="9" t="n">
        <v>0</v>
      </c>
      <c r="C9" s="10" t="s">
        <v>16</v>
      </c>
      <c r="D9" s="11" t="s">
        <v>17</v>
      </c>
    </row>
    <row r="10" customFormat="false" ht="42.75" hidden="false" customHeight="true" outlineLevel="0" collapsed="false">
      <c r="A10" s="12" t="s">
        <v>18</v>
      </c>
      <c r="B10" s="13" t="n">
        <f aca="false">SUM(B6:B9)</f>
        <v>87.5</v>
      </c>
      <c r="C10" s="14"/>
      <c r="D10" s="15"/>
    </row>
    <row r="11" customFormat="false" ht="42.75" hidden="false" customHeight="true" outlineLevel="0" collapsed="false"/>
    <row r="12" customFormat="false" ht="42.75" hidden="false" customHeight="true" outlineLevel="0" collapsed="false">
      <c r="A12" s="5" t="s">
        <v>19</v>
      </c>
      <c r="B12" s="5"/>
      <c r="C12" s="5"/>
      <c r="D12" s="5"/>
    </row>
    <row r="13" customFormat="false" ht="42.75" hidden="false" customHeight="true" outlineLevel="0" collapsed="false">
      <c r="A13" s="6" t="s">
        <v>3</v>
      </c>
      <c r="B13" s="7" t="s">
        <v>4</v>
      </c>
      <c r="C13" s="7" t="s">
        <v>5</v>
      </c>
      <c r="D13" s="6" t="s">
        <v>6</v>
      </c>
    </row>
    <row r="14" customFormat="false" ht="42.75" hidden="false" customHeight="true" outlineLevel="0" collapsed="false">
      <c r="A14" s="8" t="s">
        <v>20</v>
      </c>
      <c r="B14" s="9" t="n">
        <v>0</v>
      </c>
      <c r="C14" s="10" t="s">
        <v>8</v>
      </c>
      <c r="D14" s="11" t="s">
        <v>21</v>
      </c>
    </row>
    <row r="15" customFormat="false" ht="42.75" hidden="false" customHeight="true" outlineLevel="0" collapsed="false">
      <c r="A15" s="8" t="s">
        <v>22</v>
      </c>
      <c r="B15" s="9" t="n">
        <v>600</v>
      </c>
      <c r="C15" s="10" t="s">
        <v>23</v>
      </c>
      <c r="D15" s="11" t="s">
        <v>24</v>
      </c>
    </row>
    <row r="16" customFormat="false" ht="42.75" hidden="false" customHeight="true" outlineLevel="0" collapsed="false">
      <c r="A16" s="12" t="s">
        <v>25</v>
      </c>
      <c r="B16" s="13" t="n">
        <f aca="false">SUM(B14:B15)</f>
        <v>600</v>
      </c>
      <c r="C16" s="14"/>
      <c r="D16" s="15"/>
    </row>
    <row r="17" customFormat="false" ht="42.75" hidden="false" customHeight="true" outlineLevel="0" collapsed="false"/>
    <row r="18" customFormat="false" ht="42.75" hidden="false" customHeight="true" outlineLevel="0" collapsed="false">
      <c r="A18" s="5" t="s">
        <v>26</v>
      </c>
      <c r="B18" s="5"/>
      <c r="C18" s="5"/>
      <c r="D18" s="5"/>
    </row>
    <row r="19" customFormat="false" ht="42.75" hidden="false" customHeight="true" outlineLevel="0" collapsed="false">
      <c r="A19" s="6" t="s">
        <v>3</v>
      </c>
      <c r="B19" s="7" t="s">
        <v>4</v>
      </c>
      <c r="C19" s="7" t="s">
        <v>5</v>
      </c>
      <c r="D19" s="6" t="s">
        <v>6</v>
      </c>
    </row>
    <row r="20" customFormat="false" ht="42.75" hidden="false" customHeight="true" outlineLevel="0" collapsed="false">
      <c r="A20" s="8" t="s">
        <v>27</v>
      </c>
      <c r="B20" s="9" t="n">
        <v>125</v>
      </c>
      <c r="C20" s="10" t="s">
        <v>28</v>
      </c>
      <c r="D20" s="11" t="s">
        <v>29</v>
      </c>
    </row>
    <row r="21" customFormat="false" ht="42.75" hidden="false" customHeight="true" outlineLevel="0" collapsed="false">
      <c r="A21" s="12" t="s">
        <v>30</v>
      </c>
      <c r="B21" s="13" t="n">
        <f aca="false">SUM(B20:B20)</f>
        <v>125</v>
      </c>
      <c r="C21" s="14"/>
      <c r="D21" s="15"/>
    </row>
    <row r="22" customFormat="false" ht="42.75" hidden="false" customHeight="true" outlineLevel="0" collapsed="false"/>
    <row r="23" customFormat="false" ht="42.75" hidden="false" customHeight="true" outlineLevel="0" collapsed="false">
      <c r="A23" s="5" t="s">
        <v>31</v>
      </c>
      <c r="B23" s="5"/>
      <c r="C23" s="5"/>
      <c r="D23" s="5"/>
    </row>
    <row r="24" customFormat="false" ht="42.75" hidden="false" customHeight="true" outlineLevel="0" collapsed="false">
      <c r="A24" s="6" t="s">
        <v>3</v>
      </c>
      <c r="B24" s="7" t="s">
        <v>4</v>
      </c>
      <c r="C24" s="7" t="s">
        <v>5</v>
      </c>
      <c r="D24" s="6" t="s">
        <v>6</v>
      </c>
    </row>
    <row r="25" customFormat="false" ht="42.75" hidden="false" customHeight="true" outlineLevel="0" collapsed="false">
      <c r="A25" s="8" t="s">
        <v>32</v>
      </c>
      <c r="B25" s="16" t="n">
        <v>100</v>
      </c>
      <c r="C25" s="10" t="s">
        <v>33</v>
      </c>
      <c r="D25" s="11" t="s">
        <v>34</v>
      </c>
    </row>
    <row r="26" customFormat="false" ht="42.75" hidden="false" customHeight="true" outlineLevel="0" collapsed="false">
      <c r="A26" s="8" t="s">
        <v>35</v>
      </c>
      <c r="B26" s="16" t="n">
        <v>40</v>
      </c>
      <c r="C26" s="10" t="s">
        <v>36</v>
      </c>
      <c r="D26" s="11" t="s">
        <v>37</v>
      </c>
    </row>
    <row r="27" customFormat="false" ht="42.75" hidden="false" customHeight="true" outlineLevel="0" collapsed="false">
      <c r="A27" s="12" t="s">
        <v>38</v>
      </c>
      <c r="B27" s="13" t="n">
        <f aca="false">SUM(B25:B26)</f>
        <v>140</v>
      </c>
      <c r="C27" s="14"/>
      <c r="D27" s="15"/>
    </row>
    <row r="28" customFormat="false" ht="42.75" hidden="false" customHeight="true" outlineLevel="0" collapsed="false"/>
    <row r="29" customFormat="false" ht="42.75" hidden="false" customHeight="true" outlineLevel="0" collapsed="false">
      <c r="A29" s="17" t="s">
        <v>39</v>
      </c>
      <c r="B29" s="18" t="n">
        <f aca="false">B10+B16+B21+B27</f>
        <v>952.5</v>
      </c>
      <c r="C29" s="19"/>
      <c r="D29" s="20"/>
    </row>
    <row r="30" customFormat="false" ht="42.75" hidden="false" customHeight="true" outlineLevel="0" collapsed="false"/>
    <row r="31" customFormat="false" ht="42.75" hidden="false" customHeight="true" outlineLevel="0" collapsed="false"/>
    <row r="32" customFormat="false" ht="42.75" hidden="false" customHeight="true" outlineLevel="0" collapsed="false">
      <c r="A32" s="21" t="s">
        <v>40</v>
      </c>
    </row>
    <row r="33" customFormat="false" ht="42.75" hidden="false" customHeight="true" outlineLevel="0" collapsed="false">
      <c r="A33" s="21" t="s">
        <v>41</v>
      </c>
    </row>
    <row r="34" customFormat="false" ht="42.75" hidden="false" customHeight="true" outlineLevel="0" collapsed="false"/>
    <row r="35" customFormat="false" ht="42.75" hidden="false" customHeight="true" outlineLevel="0" collapsed="false">
      <c r="A35" s="21" t="s">
        <v>42</v>
      </c>
    </row>
  </sheetData>
  <mergeCells count="6">
    <mergeCell ref="A1:D1"/>
    <mergeCell ref="A2:D2"/>
    <mergeCell ref="A4:D4"/>
    <mergeCell ref="A12:D12"/>
    <mergeCell ref="A18:D18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2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9" activeCellId="0" sqref="C9"/>
    </sheetView>
  </sheetViews>
  <sheetFormatPr defaultColWidth="8.71484375" defaultRowHeight="15" zeroHeight="false" outlineLevelRow="0" outlineLevelCol="0"/>
  <cols>
    <col collapsed="false" customWidth="true" hidden="false" outlineLevel="0" max="1" min="1" style="22" width="55.29"/>
    <col collapsed="false" customWidth="true" hidden="false" outlineLevel="0" max="2" min="2" style="23" width="13"/>
    <col collapsed="false" customWidth="true" hidden="false" outlineLevel="0" max="3" min="3" style="23" width="48.86"/>
    <col collapsed="false" customWidth="true" hidden="false" outlineLevel="0" max="4" min="4" style="1" width="94"/>
  </cols>
  <sheetData>
    <row r="1" s="2" customFormat="true" ht="24" hidden="false" customHeight="true" outlineLevel="0" collapsed="false">
      <c r="A1" s="3" t="s">
        <v>43</v>
      </c>
      <c r="B1" s="3"/>
      <c r="C1" s="3"/>
      <c r="D1" s="3"/>
    </row>
    <row r="2" s="2" customFormat="true" ht="24" hidden="false" customHeight="true" outlineLevel="0" collapsed="false">
      <c r="A2" s="4" t="s">
        <v>44</v>
      </c>
      <c r="B2" s="4"/>
      <c r="C2" s="4"/>
      <c r="D2" s="4"/>
    </row>
    <row r="3" s="2" customFormat="true" ht="24" hidden="false" customHeight="true" outlineLevel="0" collapsed="false">
      <c r="A3" s="1"/>
      <c r="D3" s="1"/>
    </row>
    <row r="4" s="2" customFormat="true" ht="24" hidden="false" customHeight="true" outlineLevel="0" collapsed="false">
      <c r="A4" s="5" t="s">
        <v>45</v>
      </c>
      <c r="B4" s="5"/>
      <c r="C4" s="5"/>
      <c r="D4" s="5"/>
    </row>
    <row r="5" s="2" customFormat="true" ht="24" hidden="false" customHeight="true" outlineLevel="0" collapsed="false">
      <c r="A5" s="6" t="s">
        <v>3</v>
      </c>
      <c r="B5" s="7" t="s">
        <v>4</v>
      </c>
      <c r="C5" s="7" t="s">
        <v>5</v>
      </c>
      <c r="D5" s="6" t="s">
        <v>6</v>
      </c>
    </row>
    <row r="6" s="2" customFormat="true" ht="24" hidden="false" customHeight="true" outlineLevel="0" collapsed="false">
      <c r="A6" s="8" t="s">
        <v>46</v>
      </c>
      <c r="B6" s="16" t="n">
        <v>600</v>
      </c>
      <c r="C6" s="10" t="s">
        <v>47</v>
      </c>
      <c r="D6" s="11" t="s">
        <v>48</v>
      </c>
    </row>
    <row r="7" s="2" customFormat="true" ht="24" hidden="false" customHeight="true" outlineLevel="0" collapsed="false">
      <c r="A7" s="8" t="s">
        <v>49</v>
      </c>
      <c r="B7" s="16" t="n">
        <v>300</v>
      </c>
      <c r="C7" s="10" t="s">
        <v>50</v>
      </c>
      <c r="D7" s="11" t="s">
        <v>48</v>
      </c>
    </row>
    <row r="8" s="2" customFormat="true" ht="24" hidden="false" customHeight="true" outlineLevel="0" collapsed="false">
      <c r="A8" s="8" t="s">
        <v>51</v>
      </c>
      <c r="B8" s="16" t="n">
        <v>240</v>
      </c>
      <c r="C8" s="10" t="s">
        <v>52</v>
      </c>
      <c r="D8" s="11" t="s">
        <v>48</v>
      </c>
    </row>
    <row r="9" s="2" customFormat="true" ht="24" hidden="false" customHeight="true" outlineLevel="0" collapsed="false">
      <c r="A9" s="8" t="s">
        <v>53</v>
      </c>
      <c r="B9" s="16" t="n">
        <v>500</v>
      </c>
      <c r="C9" s="10" t="s">
        <v>54</v>
      </c>
      <c r="D9" s="11" t="s">
        <v>48</v>
      </c>
    </row>
    <row r="10" s="2" customFormat="true" ht="24" hidden="false" customHeight="true" outlineLevel="0" collapsed="false">
      <c r="A10" s="8" t="s">
        <v>55</v>
      </c>
      <c r="B10" s="16" t="n">
        <v>180</v>
      </c>
      <c r="C10" s="10" t="s">
        <v>56</v>
      </c>
      <c r="D10" s="11" t="s">
        <v>48</v>
      </c>
    </row>
    <row r="11" s="2" customFormat="true" ht="24" hidden="false" customHeight="true" outlineLevel="0" collapsed="false">
      <c r="A11" s="8" t="s">
        <v>57</v>
      </c>
      <c r="B11" s="16" t="n">
        <v>180</v>
      </c>
      <c r="C11" s="10" t="s">
        <v>58</v>
      </c>
      <c r="D11" s="11" t="s">
        <v>59</v>
      </c>
    </row>
    <row r="12" s="2" customFormat="true" ht="24" hidden="false" customHeight="true" outlineLevel="0" collapsed="false">
      <c r="A12" s="8" t="s">
        <v>60</v>
      </c>
      <c r="B12" s="16" t="n">
        <v>20000</v>
      </c>
      <c r="C12" s="10" t="s">
        <v>61</v>
      </c>
      <c r="D12" s="11" t="s">
        <v>62</v>
      </c>
    </row>
    <row r="13" s="2" customFormat="true" ht="24" hidden="false" customHeight="true" outlineLevel="0" collapsed="false">
      <c r="A13" s="8" t="s">
        <v>63</v>
      </c>
      <c r="B13" s="9" t="n">
        <v>505</v>
      </c>
      <c r="C13" s="10" t="s">
        <v>64</v>
      </c>
      <c r="D13" s="11" t="s">
        <v>65</v>
      </c>
    </row>
    <row r="14" s="2" customFormat="true" ht="24" hidden="false" customHeight="true" outlineLevel="0" collapsed="false">
      <c r="A14" s="8" t="s">
        <v>66</v>
      </c>
      <c r="B14" s="9" t="n">
        <v>0</v>
      </c>
      <c r="C14" s="10" t="s">
        <v>67</v>
      </c>
      <c r="D14" s="11" t="s">
        <v>68</v>
      </c>
    </row>
    <row r="15" s="2" customFormat="true" ht="24" hidden="false" customHeight="true" outlineLevel="0" collapsed="false">
      <c r="A15" s="8" t="s">
        <v>69</v>
      </c>
      <c r="B15" s="16" t="n">
        <v>400</v>
      </c>
      <c r="C15" s="10" t="s">
        <v>64</v>
      </c>
      <c r="D15" s="11" t="s">
        <v>70</v>
      </c>
    </row>
    <row r="16" s="2" customFormat="true" ht="24" hidden="false" customHeight="true" outlineLevel="0" collapsed="false">
      <c r="A16" s="8" t="s">
        <v>71</v>
      </c>
      <c r="B16" s="9" t="n">
        <v>2690</v>
      </c>
      <c r="C16" s="10" t="s">
        <v>72</v>
      </c>
      <c r="D16" s="11" t="s">
        <v>73</v>
      </c>
    </row>
    <row r="17" s="2" customFormat="true" ht="24" hidden="false" customHeight="true" outlineLevel="0" collapsed="false">
      <c r="A17" s="8" t="s">
        <v>74</v>
      </c>
      <c r="B17" s="9" t="n">
        <v>349</v>
      </c>
      <c r="C17" s="10" t="s">
        <v>75</v>
      </c>
      <c r="D17" s="11" t="s">
        <v>76</v>
      </c>
    </row>
    <row r="18" s="2" customFormat="true" ht="24" hidden="false" customHeight="true" outlineLevel="0" collapsed="false">
      <c r="A18" s="8" t="s">
        <v>77</v>
      </c>
      <c r="B18" s="9" t="n">
        <v>3012.79</v>
      </c>
      <c r="C18" s="10" t="s">
        <v>78</v>
      </c>
      <c r="D18" s="11" t="s">
        <v>79</v>
      </c>
    </row>
    <row r="19" s="2" customFormat="true" ht="24" hidden="false" customHeight="true" outlineLevel="0" collapsed="false">
      <c r="A19" s="8" t="s">
        <v>80</v>
      </c>
      <c r="B19" s="9" t="n">
        <v>150</v>
      </c>
      <c r="C19" s="10" t="s">
        <v>81</v>
      </c>
      <c r="D19" s="11" t="s">
        <v>82</v>
      </c>
    </row>
    <row r="20" s="2" customFormat="true" ht="24" hidden="false" customHeight="true" outlineLevel="0" collapsed="false">
      <c r="A20" s="8" t="s">
        <v>83</v>
      </c>
      <c r="B20" s="9" t="n">
        <v>120</v>
      </c>
      <c r="C20" s="10" t="s">
        <v>84</v>
      </c>
      <c r="D20" s="11" t="s">
        <v>85</v>
      </c>
    </row>
    <row r="21" s="2" customFormat="true" ht="24" hidden="false" customHeight="true" outlineLevel="0" collapsed="false">
      <c r="A21" s="8" t="s">
        <v>86</v>
      </c>
      <c r="B21" s="16" t="n">
        <v>300</v>
      </c>
      <c r="C21" s="10" t="s">
        <v>87</v>
      </c>
      <c r="D21" s="11" t="s">
        <v>88</v>
      </c>
    </row>
    <row r="22" s="2" customFormat="true" ht="24" hidden="false" customHeight="true" outlineLevel="0" collapsed="false">
      <c r="A22" s="8" t="s">
        <v>89</v>
      </c>
      <c r="B22" s="16" t="n">
        <v>250</v>
      </c>
      <c r="C22" s="10" t="s">
        <v>90</v>
      </c>
      <c r="D22" s="11" t="s">
        <v>88</v>
      </c>
    </row>
    <row r="23" s="2" customFormat="true" ht="24" hidden="false" customHeight="true" outlineLevel="0" collapsed="false">
      <c r="A23" s="8" t="s">
        <v>91</v>
      </c>
      <c r="B23" s="2" t="n">
        <v>5</v>
      </c>
      <c r="C23" s="2" t="s">
        <v>92</v>
      </c>
      <c r="D23" s="2" t="s">
        <v>93</v>
      </c>
    </row>
    <row r="24" s="2" customFormat="true" ht="24" hidden="false" customHeight="true" outlineLevel="0" collapsed="false">
      <c r="A24" s="8" t="s">
        <v>94</v>
      </c>
      <c r="B24" s="16" t="n">
        <v>62659.25</v>
      </c>
      <c r="C24" s="10" t="s">
        <v>95</v>
      </c>
      <c r="D24" s="11" t="s">
        <v>96</v>
      </c>
    </row>
    <row r="25" s="2" customFormat="true" ht="24" hidden="false" customHeight="true" outlineLevel="0" collapsed="false">
      <c r="A25" s="8" t="s">
        <v>97</v>
      </c>
      <c r="B25" s="23" t="n">
        <v>1300</v>
      </c>
      <c r="C25" s="23" t="s">
        <v>98</v>
      </c>
      <c r="D25" s="23" t="s">
        <v>99</v>
      </c>
    </row>
    <row r="26" s="2" customFormat="true" ht="24" hidden="false" customHeight="true" outlineLevel="0" collapsed="false">
      <c r="A26" s="12" t="s">
        <v>100</v>
      </c>
      <c r="B26" s="2" t="n">
        <f aca="false">SUM(B6:B25)</f>
        <v>93741.04</v>
      </c>
    </row>
    <row r="27" s="2" customFormat="true" ht="24" hidden="false" customHeight="true" outlineLevel="0" collapsed="false">
      <c r="A27" s="24"/>
      <c r="B27" s="24"/>
      <c r="C27" s="24"/>
      <c r="D27" s="24"/>
    </row>
    <row r="28" s="2" customFormat="true" ht="24" hidden="false" customHeight="true" outlineLevel="0" collapsed="false">
      <c r="A28" s="25" t="s">
        <v>101</v>
      </c>
      <c r="B28" s="26"/>
      <c r="C28" s="26"/>
      <c r="D28" s="27"/>
    </row>
    <row r="29" s="2" customFormat="true" ht="24" hidden="false" customHeight="true" outlineLevel="0" collapsed="false">
      <c r="A29" s="6" t="s">
        <v>3</v>
      </c>
      <c r="B29" s="7" t="s">
        <v>4</v>
      </c>
      <c r="C29" s="7" t="s">
        <v>5</v>
      </c>
      <c r="D29" s="6" t="s">
        <v>6</v>
      </c>
    </row>
    <row r="30" s="2" customFormat="true" ht="24" hidden="false" customHeight="true" outlineLevel="0" collapsed="false">
      <c r="A30" s="8" t="s">
        <v>102</v>
      </c>
      <c r="B30" s="9" t="n">
        <v>3200</v>
      </c>
      <c r="C30" s="10" t="s">
        <v>103</v>
      </c>
      <c r="D30" s="11" t="s">
        <v>104</v>
      </c>
    </row>
    <row r="31" s="2" customFormat="true" ht="24" hidden="false" customHeight="true" outlineLevel="0" collapsed="false">
      <c r="A31" s="8" t="s">
        <v>105</v>
      </c>
      <c r="B31" s="9" t="n">
        <v>350</v>
      </c>
      <c r="C31" s="10"/>
      <c r="D31" s="11" t="s">
        <v>104</v>
      </c>
    </row>
    <row r="32" s="2" customFormat="true" ht="24" hidden="false" customHeight="true" outlineLevel="0" collapsed="false">
      <c r="A32" s="8" t="s">
        <v>106</v>
      </c>
      <c r="B32" s="9" t="n">
        <v>400</v>
      </c>
      <c r="C32" s="10"/>
      <c r="D32" s="11" t="s">
        <v>104</v>
      </c>
    </row>
    <row r="33" s="2" customFormat="true" ht="24" hidden="false" customHeight="true" outlineLevel="0" collapsed="false">
      <c r="A33" s="8" t="s">
        <v>107</v>
      </c>
      <c r="B33" s="9" t="n">
        <v>2600</v>
      </c>
      <c r="C33" s="10"/>
      <c r="D33" s="11" t="s">
        <v>104</v>
      </c>
    </row>
    <row r="34" s="2" customFormat="true" ht="24" hidden="false" customHeight="true" outlineLevel="0" collapsed="false">
      <c r="A34" s="8" t="s">
        <v>108</v>
      </c>
      <c r="B34" s="9" t="n">
        <v>550</v>
      </c>
      <c r="C34" s="10"/>
      <c r="D34" s="11" t="s">
        <v>104</v>
      </c>
    </row>
    <row r="35" s="2" customFormat="true" ht="24" hidden="false" customHeight="true" outlineLevel="0" collapsed="false">
      <c r="A35" s="8" t="s">
        <v>109</v>
      </c>
      <c r="B35" s="9" t="n">
        <v>3000</v>
      </c>
      <c r="C35" s="10" t="s">
        <v>110</v>
      </c>
      <c r="D35" s="11" t="s">
        <v>104</v>
      </c>
    </row>
    <row r="36" s="2" customFormat="true" ht="24" hidden="false" customHeight="true" outlineLevel="0" collapsed="false">
      <c r="A36" s="8" t="s">
        <v>111</v>
      </c>
      <c r="B36" s="2" t="n">
        <v>2000</v>
      </c>
      <c r="C36" s="2" t="s">
        <v>112</v>
      </c>
      <c r="D36" s="2" t="s">
        <v>104</v>
      </c>
    </row>
    <row r="37" s="2" customFormat="true" ht="24" hidden="false" customHeight="true" outlineLevel="0" collapsed="false">
      <c r="A37" s="8" t="s">
        <v>113</v>
      </c>
      <c r="B37" s="2" t="n">
        <f aca="false">2800/12</f>
        <v>233.333333333333</v>
      </c>
      <c r="C37" s="2" t="s">
        <v>114</v>
      </c>
      <c r="D37" s="2" t="s">
        <v>115</v>
      </c>
    </row>
    <row r="38" s="2" customFormat="true" ht="24" hidden="false" customHeight="true" outlineLevel="0" collapsed="false">
      <c r="A38" s="8" t="s">
        <v>116</v>
      </c>
      <c r="B38" s="2" t="n">
        <f aca="false">1200/12</f>
        <v>100</v>
      </c>
      <c r="C38" s="2" t="s">
        <v>117</v>
      </c>
      <c r="D38" s="2" t="s">
        <v>118</v>
      </c>
    </row>
    <row r="39" s="2" customFormat="true" ht="24" hidden="false" customHeight="true" outlineLevel="0" collapsed="false">
      <c r="A39" s="12" t="s">
        <v>119</v>
      </c>
      <c r="B39" s="23" t="n">
        <f aca="false">SUM(B30:B38)</f>
        <v>12433.3333333333</v>
      </c>
    </row>
    <row r="40" s="2" customFormat="true" ht="24" hidden="false" customHeight="true" outlineLevel="0" collapsed="false">
      <c r="A40" s="12" t="s">
        <v>120</v>
      </c>
      <c r="B40" s="2" t="n">
        <f aca="false">B39*12</f>
        <v>149200</v>
      </c>
    </row>
    <row r="41" s="2" customFormat="true" ht="24" hidden="false" customHeight="true" outlineLevel="0" collapsed="false">
      <c r="A41" s="24"/>
      <c r="B41" s="24"/>
      <c r="C41" s="24"/>
      <c r="D41" s="24"/>
    </row>
    <row r="42" s="2" customFormat="true" ht="24" hidden="false" customHeight="true" outlineLevel="0" collapsed="false">
      <c r="A42" s="25" t="s">
        <v>121</v>
      </c>
      <c r="B42" s="26"/>
      <c r="C42" s="26"/>
      <c r="D42" s="27"/>
    </row>
    <row r="43" customFormat="false" ht="15" hidden="false" customHeight="true" outlineLevel="0" collapsed="false">
      <c r="A43" s="8" t="s">
        <v>122</v>
      </c>
      <c r="B43" s="28" t="n">
        <v>3</v>
      </c>
      <c r="C43" s="29"/>
      <c r="D43" s="11" t="s">
        <v>123</v>
      </c>
    </row>
    <row r="44" customFormat="false" ht="32.25" hidden="false" customHeight="true" outlineLevel="0" collapsed="false">
      <c r="A44" s="8" t="s">
        <v>124</v>
      </c>
      <c r="B44" s="30" t="n">
        <f aca="false">B43*B39</f>
        <v>37300</v>
      </c>
      <c r="C44" s="29"/>
      <c r="D44" s="31"/>
    </row>
    <row r="45" customFormat="false" ht="15" hidden="false" customHeight="true" outlineLevel="0" collapsed="false">
      <c r="A45" s="17" t="s">
        <v>125</v>
      </c>
      <c r="B45" s="18" t="n">
        <f aca="false">B26+B44</f>
        <v>131041.04</v>
      </c>
      <c r="C45" s="19"/>
      <c r="D45" s="20"/>
    </row>
    <row r="46" customFormat="false" ht="15" hidden="false" customHeight="true" outlineLevel="0" collapsed="false">
      <c r="A46" s="1"/>
    </row>
    <row r="47" customFormat="false" ht="15" hidden="false" customHeight="true" outlineLevel="0" collapsed="false">
      <c r="A47" s="1"/>
    </row>
    <row r="48" customFormat="false" ht="15" hidden="false" customHeight="true" outlineLevel="0" collapsed="false">
      <c r="A48" s="21" t="s">
        <v>40</v>
      </c>
    </row>
    <row r="49" customFormat="false" ht="15" hidden="false" customHeight="true" outlineLevel="0" collapsed="false">
      <c r="A49" s="21" t="s">
        <v>126</v>
      </c>
    </row>
    <row r="50" customFormat="false" ht="32.8" hidden="false" customHeight="false" outlineLevel="0" collapsed="false">
      <c r="A50" s="21" t="s">
        <v>127</v>
      </c>
    </row>
    <row r="51" customFormat="false" ht="15" hidden="false" customHeight="false" outlineLevel="0" collapsed="false">
      <c r="A51" s="1"/>
    </row>
    <row r="52" customFormat="false" ht="15" hidden="false" customHeight="false" outlineLevel="0" collapsed="false">
      <c r="A52" s="21" t="s">
        <v>42</v>
      </c>
    </row>
  </sheetData>
  <mergeCells count="5">
    <mergeCell ref="A1:D1"/>
    <mergeCell ref="A2:D2"/>
    <mergeCell ref="A4:D4"/>
    <mergeCell ref="A27:D27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2026-07-25T15:38:19Z</dcterms:created>
  <dc:creator>openpyxl</dc:creator>
  <dc:description/>
  <dc:language>en-US</dc:language>
  <cp:lastModifiedBy>Maggie Baty</cp:lastModifiedBy>
  <dcterms:modified xsi:type="dcterms:W3CDTF">2026-07-25T20:55:50Z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